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msm/work/programming/git-clones/tfscreen/notebooks/ensemble-calibration/2025-08-17_calibrate-dG0-from-expt/"/>
    </mc:Choice>
  </mc:AlternateContent>
  <xr:revisionPtr revIDLastSave="0" documentId="8_{178C9F04-CAF5-EB4A-A977-BBE2C3C36263}" xr6:coauthVersionLast="47" xr6:coauthVersionMax="47" xr10:uidLastSave="{00000000-0000-0000-0000-000000000000}"/>
  <bookViews>
    <workbookView xWindow="1380" yWindow="2420" windowWidth="27040" windowHeight="15940" xr2:uid="{F510EA8D-918A-634D-A34D-480485FCD0CD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J33" i="1"/>
  <c r="D33" i="1"/>
  <c r="D50" i="1" s="1"/>
  <c r="E50" i="1" s="1"/>
  <c r="D49" i="1"/>
  <c r="E2" i="1"/>
  <c r="J43" i="1"/>
  <c r="J42" i="1"/>
  <c r="J40" i="1"/>
  <c r="J35" i="1"/>
  <c r="J34" i="1"/>
  <c r="I39" i="1"/>
  <c r="J39" i="1" s="1"/>
  <c r="I38" i="1"/>
  <c r="J38" i="1" s="1"/>
  <c r="I41" i="1"/>
  <c r="J41" i="1" s="1"/>
  <c r="I40" i="1"/>
  <c r="I34" i="1"/>
  <c r="I37" i="1"/>
  <c r="J37" i="1" s="1"/>
  <c r="C45" i="1"/>
  <c r="C42" i="1"/>
  <c r="C40" i="1"/>
  <c r="C37" i="1"/>
  <c r="Q19" i="1"/>
  <c r="Q18" i="1"/>
  <c r="Q17" i="1"/>
  <c r="M19" i="1"/>
  <c r="M18" i="1"/>
  <c r="M17" i="1"/>
  <c r="I19" i="1"/>
  <c r="I18" i="1"/>
  <c r="I17" i="1"/>
  <c r="E19" i="1"/>
  <c r="E18" i="1"/>
  <c r="E17" i="1"/>
  <c r="I43" i="1"/>
  <c r="I42" i="1"/>
  <c r="I32" i="1"/>
  <c r="J32" i="1" s="1"/>
  <c r="I35" i="1"/>
  <c r="D51" i="1"/>
  <c r="E51" i="1" s="1"/>
  <c r="E49" i="1"/>
  <c r="C41" i="1"/>
  <c r="C39" i="1"/>
  <c r="C38" i="1"/>
  <c r="C35" i="1"/>
  <c r="C46" i="1"/>
  <c r="C44" i="1"/>
  <c r="C43" i="1"/>
  <c r="C36" i="1"/>
  <c r="E1" i="1"/>
  <c r="R19" i="1"/>
  <c r="P19" i="1"/>
  <c r="O19" i="1"/>
  <c r="N19" i="1"/>
  <c r="L19" i="1"/>
  <c r="K19" i="1"/>
  <c r="J19" i="1"/>
  <c r="H19" i="1"/>
  <c r="G19" i="1"/>
  <c r="F19" i="1"/>
  <c r="D19" i="1"/>
  <c r="R18" i="1"/>
  <c r="P18" i="1"/>
  <c r="O18" i="1"/>
  <c r="N18" i="1"/>
  <c r="L18" i="1"/>
  <c r="K18" i="1"/>
  <c r="J18" i="1"/>
  <c r="H18" i="1"/>
  <c r="G18" i="1"/>
  <c r="F18" i="1"/>
  <c r="D18" i="1"/>
  <c r="C19" i="1"/>
  <c r="C18" i="1"/>
  <c r="C5" i="1"/>
  <c r="S17" i="1" s="1"/>
  <c r="L17" i="1" s="1"/>
  <c r="I36" i="1" l="1"/>
  <c r="J36" i="1" s="1"/>
  <c r="C17" i="1"/>
  <c r="N17" i="1"/>
  <c r="O17" i="1"/>
  <c r="P17" i="1"/>
  <c r="D17" i="1"/>
  <c r="F17" i="1"/>
  <c r="G17" i="1"/>
  <c r="H17" i="1"/>
  <c r="R17" i="1"/>
  <c r="J17" i="1"/>
  <c r="K17" i="1"/>
  <c r="C33" i="1" l="1"/>
  <c r="E3" i="1"/>
  <c r="C32" i="1" s="1"/>
</calcChain>
</file>

<file path=xl/sharedStrings.xml><?xml version="1.0" encoding="utf-8"?>
<sst xmlns="http://schemas.openxmlformats.org/spreadsheetml/2006/main" count="75" uniqueCount="57">
  <si>
    <t>H</t>
  </si>
  <si>
    <t>L</t>
  </si>
  <si>
    <t>reference protein</t>
  </si>
  <si>
    <t>reference DNA</t>
  </si>
  <si>
    <t>reference IPTG</t>
  </si>
  <si>
    <t>conformation</t>
  </si>
  <si>
    <t>num IPTG bound</t>
  </si>
  <si>
    <t>DNA bound</t>
  </si>
  <si>
    <t>unfolded</t>
  </si>
  <si>
    <t>na</t>
  </si>
  <si>
    <t>reference T</t>
  </si>
  <si>
    <t>R</t>
  </si>
  <si>
    <t>kcal/mol/K</t>
  </si>
  <si>
    <t>K</t>
  </si>
  <si>
    <t>mol/L</t>
  </si>
  <si>
    <t>&lt;- from fitting MWC model to experimental data</t>
  </si>
  <si>
    <t>genotype</t>
  </si>
  <si>
    <t>mhk</t>
  </si>
  <si>
    <t>observable?</t>
  </si>
  <si>
    <t>bound_iptg</t>
  </si>
  <si>
    <t>bound_dna</t>
  </si>
  <si>
    <t>dG0'</t>
  </si>
  <si>
    <t>conc @ conditions</t>
  </si>
  <si>
    <t>&lt;- free L</t>
  </si>
  <si>
    <t>&lt;- free iptg</t>
  </si>
  <si>
    <t>&lt;- free dna</t>
  </si>
  <si>
    <t>dG_L_unfold</t>
  </si>
  <si>
    <t>&lt;- made up</t>
  </si>
  <si>
    <t>conc including unfolded state</t>
  </si>
  <si>
    <t>HE</t>
  </si>
  <si>
    <t>HE2</t>
  </si>
  <si>
    <t>HO</t>
  </si>
  <si>
    <t>HOE</t>
  </si>
  <si>
    <t>HOE2</t>
  </si>
  <si>
    <t>LE</t>
  </si>
  <si>
    <t>LE2</t>
  </si>
  <si>
    <t>LO</t>
  </si>
  <si>
    <t>LOE</t>
  </si>
  <si>
    <t>LOE2</t>
  </si>
  <si>
    <t>O</t>
  </si>
  <si>
    <t>E</t>
  </si>
  <si>
    <t>U</t>
  </si>
  <si>
    <t xml:space="preserve">        K_l_2u:   # L -&gt; 2U (M)</t>
  </si>
  <si>
    <t xml:space="preserve">        K_l_h:    # L -&gt; H (unitless)</t>
  </si>
  <si>
    <t xml:space="preserve">        K_l_o:    # L + O -&gt; LO (M-1)</t>
  </si>
  <si>
    <t xml:space="preserve">        K_h_o:    # H + O -&gt; HO (M-1)</t>
  </si>
  <si>
    <t xml:space="preserve">        K_l_e:    # L + E -&gt; LE (M-1)</t>
  </si>
  <si>
    <t xml:space="preserve">        K_le_e:   # LE + E -&gt; LE2 (M-1)</t>
  </si>
  <si>
    <t xml:space="preserve">        K_h_e:    # H + E -&gt; HE (M-1)</t>
  </si>
  <si>
    <t xml:space="preserve">        K_he_e:   # HE + E -&gt; HE2 (M-1)</t>
  </si>
  <si>
    <t xml:space="preserve">        K_lo_e:   # LO + E -&gt; LOE (M-1)</t>
  </si>
  <si>
    <t xml:space="preserve">        K_loe_e:  # LOE + E -&gt; LOE2 (M-1)</t>
  </si>
  <si>
    <t xml:space="preserve">        K_ho_e:   # HO + E -&gt; HOE (M-1)</t>
  </si>
  <si>
    <t xml:space="preserve">        K_hoe_e:  # HOE + E -&gt; HOE2 (M-1)</t>
  </si>
  <si>
    <t>iptg total</t>
  </si>
  <si>
    <t>protein total</t>
  </si>
  <si>
    <t>operator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</si>
</sst>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73" formatCode="0.00000000000"/>
    <numFmt numFmtId="174" formatCode="0.0"/>
  </numFmts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8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11" fontId="1" fillId="0" borderId="0" xfId="0" applyNumberFormat="1" applyFont="1"/>
    <xf numFmtId="0" fontId="1" fillId="0" borderId="0" xfId="0" applyFont="1"/>
    <xf numFmtId="1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11" fontId="0" fillId="0" borderId="0" xfId="0" applyNumberFormat="1"/>
    <xf numFmtId="11" fontId="3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1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1" fontId="0" fillId="0" borderId="0" xfId="0" applyNumberFormat="1" applyAlignment="1">
      <alignment horizontal="left"/>
    </xf>
    <xf numFmtId="11" fontId="0" fillId="0" borderId="2" xfId="0" applyNumberFormat="1" applyBorder="1" applyAlignment="1">
      <alignment horizontal="center"/>
    </xf>
    <xf numFmtId="11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Fill="1" applyBorder="1" applyAlignment="1">
      <alignment horizontal="right"/>
    </xf>
    <xf numFmtId="173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1" fontId="0" fillId="2" borderId="6" xfId="0" applyNumberFormat="1" applyFill="1" applyBorder="1" applyAlignment="1">
      <alignment horizontal="center"/>
    </xf>
    <xf numFmtId="11" fontId="0" fillId="2" borderId="0" xfId="0" applyNumberFormat="1" applyFill="1" applyAlignment="1">
      <alignment horizontal="center"/>
    </xf>
    <xf numFmtId="11" fontId="3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2" borderId="3" xfId="0" applyNumberFormat="1" applyFont="1" applyFill="1" applyBorder="1" applyAlignment="1">
      <alignment horizontal="center"/>
    </xf>
    <xf numFmtId="11" fontId="2" fillId="2" borderId="6" xfId="0" applyNumberFormat="1" applyFont="1" applyFill="1" applyBorder="1" applyAlignment="1">
      <alignment horizontal="center"/>
    </xf>
    <xf numFmtId="11" fontId="2" fillId="2" borderId="0" xfId="0" applyNumberFormat="1" applyFont="1" applyFill="1" applyAlignment="1">
      <alignment horizontal="center"/>
    </xf>
    <xf numFmtId="0" fontId="0" fillId="0" borderId="0" xfId="0" applyFill="1" applyBorder="1" applyAlignment="1">
      <alignment horizontal="center"/>
    </xf>
    <xf numFmtId="17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Sheet2!$B$3:$B$18</c:f>
              <c:numCache>
                <c:formatCode>General</c:formatCode>
                <c:ptCount val="16"/>
                <c:pt idx="0">
                  <c:v>2.9696429550647197E-14</c:v>
                </c:pt>
                <c:pt idx="1">
                  <c:v>1.2456343410178701E-18</c:v>
                </c:pt>
                <c:pt idx="2">
                  <c:v>1.2456343410178701E-18</c:v>
                </c:pt>
                <c:pt idx="3">
                  <c:v>5.2248870823907299E-23</c:v>
                </c:pt>
                <c:pt idx="4">
                  <c:v>9.0603368554207995E-9</c:v>
                </c:pt>
                <c:pt idx="5">
                  <c:v>3.8004120020738499E-13</c:v>
                </c:pt>
                <c:pt idx="6">
                  <c:v>3.8004120020738499E-13</c:v>
                </c:pt>
                <c:pt idx="7">
                  <c:v>1.5941053424372E-17</c:v>
                </c:pt>
                <c:pt idx="8">
                  <c:v>1.1089102636925199E-7</c:v>
                </c:pt>
                <c:pt idx="9">
                  <c:v>4.85318065852686E-11</c:v>
                </c:pt>
                <c:pt idx="10">
                  <c:v>4.85318065852686E-11</c:v>
                </c:pt>
                <c:pt idx="11">
                  <c:v>2.1240097846934599E-14</c:v>
                </c:pt>
                <c:pt idx="12">
                  <c:v>1.04158064461746E-17</c:v>
                </c:pt>
                <c:pt idx="13">
                  <c:v>4.5585104622632401E-21</c:v>
                </c:pt>
                <c:pt idx="14">
                  <c:v>4.5585104622632401E-21</c:v>
                </c:pt>
                <c:pt idx="15">
                  <c:v>1.9950464461822902E-24</c:v>
                </c:pt>
              </c:numCache>
            </c:numRef>
          </c:xVal>
          <c:yVal>
            <c:numRef>
              <c:f>Sheet2!$C$3:$C$18</c:f>
              <c:numCache>
                <c:formatCode>General</c:formatCode>
                <c:ptCount val="16"/>
                <c:pt idx="0">
                  <c:v>2.9684249636575767E-14</c:v>
                </c:pt>
                <c:pt idx="1">
                  <c:v>1.2451234473021081E-18</c:v>
                </c:pt>
                <c:pt idx="2">
                  <c:v>1.2451234473021081E-18</c:v>
                </c:pt>
                <c:pt idx="3">
                  <c:v>5.2227441084151268E-23</c:v>
                </c:pt>
                <c:pt idx="4">
                  <c:v>9.056620781602247E-9</c:v>
                </c:pt>
                <c:pt idx="5">
                  <c:v>3.7988532728824404E-13</c:v>
                </c:pt>
                <c:pt idx="6">
                  <c:v>3.7988532728824404E-13</c:v>
                </c:pt>
                <c:pt idx="7">
                  <c:v>1.5934515242380035E-17</c:v>
                </c:pt>
                <c:pt idx="8">
                  <c:v>1.1084554470048214E-7</c:v>
                </c:pt>
                <c:pt idx="9">
                  <c:v>4.851190138983326E-11</c:v>
                </c:pt>
                <c:pt idx="10">
                  <c:v>4.851190138983326E-11</c:v>
                </c:pt>
                <c:pt idx="11">
                  <c:v>2.1231386275525027E-14</c:v>
                </c:pt>
                <c:pt idx="12">
                  <c:v>1.0411534429995549E-17</c:v>
                </c:pt>
                <c:pt idx="13">
                  <c:v>4.5566408009415302E-21</c:v>
                </c:pt>
                <c:pt idx="14">
                  <c:v>4.5566408009415302E-21</c:v>
                </c:pt>
                <c:pt idx="15">
                  <c:v>1.9942281830223607E-24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4-CC44-A33D-381DB5C9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55727"/>
        <c:axId val="1161012624"/>
      </c:scatterChart>
      <c:valAx>
        <c:axId val="714557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12624"/>
        <c:crosses val="autoZero"/>
        <c:crossBetween val="midCat"/>
      </c:valAx>
      <c:valAx>
        <c:axId val="11610126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9</xdr:row>
      <xdr:rowOff>127000</xdr:rowOff>
    </xdr:from>
    <xdr:to>
      <xdr:col>8</xdr:col>
      <xdr:colOff>723900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00332-4278-77FC-2EE0-7638FD3A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E64A-479C-F344-9D5B-946C71D6080E}">
  <dimension ref="A1:AF64"/>
  <sheetViews>
    <sheetView tabSelected="1" zoomScale="92" workbookViewId="0">
      <selection activeCell="H12" sqref="H12"/>
    </sheetView>
  </sheetViews>
  <sheetFormatPr baseColWidth="10" defaultRowHeight="16" x14ac:dyDescent="0.2"/>
  <cols>
    <col min="2" max="2" width="25.33203125" bestFit="1" customWidth="1"/>
    <col min="3" max="3" width="12.1640625" bestFit="1" customWidth="1"/>
    <col min="4" max="4" width="13.83203125" bestFit="1" customWidth="1"/>
    <col min="5" max="5" width="9.1640625" customWidth="1"/>
    <col min="6" max="6" width="9.83203125" bestFit="1" customWidth="1"/>
    <col min="7" max="7" width="12.5" bestFit="1" customWidth="1"/>
    <col min="8" max="8" width="32.1640625" bestFit="1" customWidth="1"/>
    <col min="9" max="9" width="12.5" bestFit="1" customWidth="1"/>
    <col min="10" max="10" width="10" bestFit="1" customWidth="1"/>
    <col min="11" max="15" width="12.5" bestFit="1" customWidth="1"/>
    <col min="16" max="17" width="9.33203125" bestFit="1" customWidth="1"/>
    <col min="18" max="18" width="8.6640625" customWidth="1"/>
    <col min="19" max="19" width="39.83203125" bestFit="1" customWidth="1"/>
  </cols>
  <sheetData>
    <row r="1" spans="1:20" x14ac:dyDescent="0.2">
      <c r="B1" t="s">
        <v>2</v>
      </c>
      <c r="C1" s="1">
        <v>1.1999999999999999E-7</v>
      </c>
      <c r="D1" t="s">
        <v>14</v>
      </c>
      <c r="E1" s="23">
        <f>K16</f>
        <v>1.1089102636925199E-7</v>
      </c>
      <c r="F1" s="23" t="s">
        <v>23</v>
      </c>
      <c r="H1" s="23"/>
    </row>
    <row r="2" spans="1:20" x14ac:dyDescent="0.2">
      <c r="B2" t="s">
        <v>4</v>
      </c>
      <c r="C2" s="1">
        <v>1.26E-9</v>
      </c>
      <c r="D2" t="s">
        <v>14</v>
      </c>
      <c r="E2" s="23">
        <f>C2-SUM(C18:S18)</f>
        <v>1.1621337898507532E-9</v>
      </c>
      <c r="F2" s="23" t="s">
        <v>24</v>
      </c>
    </row>
    <row r="3" spans="1:20" x14ac:dyDescent="0.2">
      <c r="B3" t="s">
        <v>3</v>
      </c>
      <c r="C3" s="1">
        <v>1E-8</v>
      </c>
      <c r="D3" t="s">
        <v>14</v>
      </c>
      <c r="E3" s="23">
        <f>C3-SUM(C19:S19)</f>
        <v>9.3890303581280764E-10</v>
      </c>
      <c r="F3" s="23" t="s">
        <v>25</v>
      </c>
      <c r="O3" s="23"/>
    </row>
    <row r="4" spans="1:20" x14ac:dyDescent="0.2">
      <c r="B4" t="s">
        <v>10</v>
      </c>
      <c r="C4" s="2">
        <v>298.14999999999998</v>
      </c>
      <c r="D4" t="s">
        <v>13</v>
      </c>
    </row>
    <row r="5" spans="1:20" x14ac:dyDescent="0.2">
      <c r="B5" t="s">
        <v>11</v>
      </c>
      <c r="C5">
        <f>0.001987</f>
        <v>1.9870000000000001E-3</v>
      </c>
      <c r="D5" t="s">
        <v>12</v>
      </c>
    </row>
    <row r="6" spans="1:20" x14ac:dyDescent="0.2">
      <c r="B6" t="s">
        <v>16</v>
      </c>
      <c r="C6" t="s">
        <v>17</v>
      </c>
      <c r="G6" s="23"/>
      <c r="J6" s="23"/>
      <c r="L6" s="23"/>
    </row>
    <row r="7" spans="1:20" x14ac:dyDescent="0.2">
      <c r="B7" t="s">
        <v>26</v>
      </c>
      <c r="C7">
        <v>10</v>
      </c>
      <c r="D7" t="s">
        <v>27</v>
      </c>
    </row>
    <row r="12" spans="1:20" x14ac:dyDescent="0.2">
      <c r="B12" s="3" t="s">
        <v>5</v>
      </c>
      <c r="C12" s="4" t="s">
        <v>0</v>
      </c>
      <c r="D12" s="4" t="s">
        <v>0</v>
      </c>
      <c r="E12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5" t="s">
        <v>1</v>
      </c>
      <c r="L12" s="4" t="s">
        <v>1</v>
      </c>
      <c r="M12" s="52" t="s">
        <v>1</v>
      </c>
      <c r="N12" s="4" t="s">
        <v>1</v>
      </c>
      <c r="O12" s="19" t="s">
        <v>1</v>
      </c>
      <c r="P12" s="19" t="s">
        <v>1</v>
      </c>
      <c r="Q12" t="s">
        <v>1</v>
      </c>
      <c r="R12" s="19" t="s">
        <v>1</v>
      </c>
      <c r="S12" s="5" t="s">
        <v>8</v>
      </c>
    </row>
    <row r="13" spans="1:20" x14ac:dyDescent="0.2">
      <c r="B13" s="6" t="s">
        <v>6</v>
      </c>
      <c r="C13" s="7">
        <v>0</v>
      </c>
      <c r="D13" s="8">
        <v>1</v>
      </c>
      <c r="E13" s="41">
        <v>1</v>
      </c>
      <c r="F13" s="7">
        <v>2</v>
      </c>
      <c r="G13" s="7">
        <v>0</v>
      </c>
      <c r="H13" s="7">
        <v>1</v>
      </c>
      <c r="I13" s="46">
        <v>1</v>
      </c>
      <c r="J13" s="7">
        <v>2</v>
      </c>
      <c r="K13" s="9">
        <v>0</v>
      </c>
      <c r="L13" s="7">
        <v>1</v>
      </c>
      <c r="M13" s="46">
        <v>1</v>
      </c>
      <c r="N13" s="7">
        <v>2</v>
      </c>
      <c r="O13" s="20">
        <v>0</v>
      </c>
      <c r="P13" s="20">
        <v>1</v>
      </c>
      <c r="Q13" s="48">
        <v>1</v>
      </c>
      <c r="R13" s="20">
        <v>2</v>
      </c>
      <c r="S13" s="9">
        <v>0</v>
      </c>
    </row>
    <row r="14" spans="1:20" x14ac:dyDescent="0.2">
      <c r="B14" s="10" t="s">
        <v>7</v>
      </c>
      <c r="C14" s="11">
        <v>0</v>
      </c>
      <c r="D14" s="12">
        <v>0</v>
      </c>
      <c r="E14" s="42">
        <v>0</v>
      </c>
      <c r="F14" s="11">
        <v>0</v>
      </c>
      <c r="G14" s="11">
        <v>1</v>
      </c>
      <c r="H14" s="11">
        <v>1</v>
      </c>
      <c r="I14" s="47">
        <v>1</v>
      </c>
      <c r="J14" s="11">
        <v>1</v>
      </c>
      <c r="K14" s="13">
        <v>0</v>
      </c>
      <c r="L14" s="11">
        <v>0</v>
      </c>
      <c r="M14" s="47">
        <v>0</v>
      </c>
      <c r="N14" s="11">
        <v>0</v>
      </c>
      <c r="O14" s="21">
        <v>1</v>
      </c>
      <c r="P14" s="21">
        <v>1</v>
      </c>
      <c r="Q14" s="49">
        <v>1</v>
      </c>
      <c r="R14" s="21">
        <v>1</v>
      </c>
      <c r="S14" s="13">
        <v>0</v>
      </c>
    </row>
    <row r="15" spans="1:20" x14ac:dyDescent="0.2">
      <c r="B15" s="10" t="s">
        <v>18</v>
      </c>
      <c r="C15" s="11">
        <v>0</v>
      </c>
      <c r="D15" s="12">
        <v>0</v>
      </c>
      <c r="E15" s="42">
        <v>0</v>
      </c>
      <c r="F15" s="11">
        <v>0</v>
      </c>
      <c r="G15" s="11">
        <v>1</v>
      </c>
      <c r="H15" s="11">
        <v>1</v>
      </c>
      <c r="I15" s="47">
        <v>1</v>
      </c>
      <c r="J15" s="11">
        <v>1</v>
      </c>
      <c r="K15" s="13">
        <v>0</v>
      </c>
      <c r="L15" s="11">
        <v>0</v>
      </c>
      <c r="M15" s="47">
        <v>0</v>
      </c>
      <c r="N15" s="11">
        <v>0</v>
      </c>
      <c r="O15" s="21">
        <v>1</v>
      </c>
      <c r="P15" s="21">
        <v>1</v>
      </c>
      <c r="Q15" s="49">
        <v>1</v>
      </c>
      <c r="R15" s="21">
        <v>1</v>
      </c>
      <c r="S15" s="13">
        <v>0</v>
      </c>
    </row>
    <row r="16" spans="1:20" x14ac:dyDescent="0.2">
      <c r="A16" s="23"/>
      <c r="B16" s="14" t="s">
        <v>22</v>
      </c>
      <c r="C16" s="15">
        <v>2.9696429550647197E-14</v>
      </c>
      <c r="D16" s="15">
        <v>1.2456343410178701E-18</v>
      </c>
      <c r="E16" s="43">
        <v>1.2456343410178701E-18</v>
      </c>
      <c r="F16" s="15">
        <v>5.2248870823907299E-23</v>
      </c>
      <c r="G16" s="15">
        <v>9.0603368554207995E-9</v>
      </c>
      <c r="H16" s="15">
        <v>3.8004120020738499E-13</v>
      </c>
      <c r="I16" s="43">
        <v>3.8004120020738499E-13</v>
      </c>
      <c r="J16" s="15">
        <v>1.5941053424372E-17</v>
      </c>
      <c r="K16" s="16">
        <v>1.1089102636925199E-7</v>
      </c>
      <c r="L16" s="15">
        <v>4.85318065852686E-11</v>
      </c>
      <c r="M16" s="43">
        <v>4.85318065852686E-11</v>
      </c>
      <c r="N16" s="15">
        <v>2.1240097846934599E-14</v>
      </c>
      <c r="O16" s="22">
        <v>1.04158064461746E-17</v>
      </c>
      <c r="P16" s="22">
        <v>4.5585104622632401E-21</v>
      </c>
      <c r="Q16" s="50">
        <v>4.5585104622632401E-21</v>
      </c>
      <c r="R16" s="22">
        <v>1.9950464461822902E-24</v>
      </c>
      <c r="S16" s="17" t="s">
        <v>9</v>
      </c>
      <c r="T16" s="30" t="s">
        <v>15</v>
      </c>
    </row>
    <row r="17" spans="1:32" x14ac:dyDescent="0.2">
      <c r="A17" s="23"/>
      <c r="B17" s="6" t="s">
        <v>28</v>
      </c>
      <c r="C17" s="18">
        <f>C16*($C$1-$S$17)/$C$1</f>
        <v>2.9696428164211093E-14</v>
      </c>
      <c r="D17" s="18">
        <f>D16*($C$1-$S$17)/$C$1</f>
        <v>1.2456342828629858E-18</v>
      </c>
      <c r="E17" s="44">
        <f>E16*($C$1-$S$17)/$C$1</f>
        <v>1.2456342828629858E-18</v>
      </c>
      <c r="F17" s="18">
        <f>F16*($C$1-$S$17)/$C$1</f>
        <v>5.2248868384566203E-23</v>
      </c>
      <c r="G17" s="18">
        <f>G16*($C$1-$S$17)/$C$1</f>
        <v>9.060336432421188E-9</v>
      </c>
      <c r="H17" s="18">
        <f>H16*($C$1-$S$17)/$C$1</f>
        <v>3.8004118246441558E-13</v>
      </c>
      <c r="I17" s="44">
        <f>I16*($C$1-$S$17)/$C$1</f>
        <v>3.8004118246441558E-13</v>
      </c>
      <c r="J17" s="18">
        <f>J16*($C$1-$S$17)/$C$1</f>
        <v>1.5941052680132627E-17</v>
      </c>
      <c r="K17" s="31">
        <f>K16*($C$1-$S$17)/$C$1</f>
        <v>1.1089102119208675E-7</v>
      </c>
      <c r="L17" s="18">
        <f>L16*($C$1-$S$17)/$C$1</f>
        <v>4.8531804319465942E-11</v>
      </c>
      <c r="M17" s="44">
        <f>M16*($C$1-$S$17)/$C$1</f>
        <v>4.8531804319465942E-11</v>
      </c>
      <c r="N17" s="18">
        <f>N16*($C$1-$S$17)/$C$1</f>
        <v>2.1240096855298939E-14</v>
      </c>
      <c r="O17" s="32">
        <f>O16*($C$1-$S$17)/$C$1</f>
        <v>1.041580595989223E-17</v>
      </c>
      <c r="P17" s="32">
        <f>P16*($C$1-$S$17)/$C$1</f>
        <v>4.5585102494402309E-21</v>
      </c>
      <c r="Q17" s="51">
        <f>Q16*($C$1-$S$17)/$C$1</f>
        <v>4.5585102494402309E-21</v>
      </c>
      <c r="R17" s="32">
        <f>R16*($C$1-$S$17)/$C$1</f>
        <v>1.9950463530396307E-24</v>
      </c>
      <c r="S17" s="31">
        <f>EXP(-C7/(C4*C5))*C1</f>
        <v>5.6024355432523335E-15</v>
      </c>
    </row>
    <row r="18" spans="1:32" x14ac:dyDescent="0.2">
      <c r="B18" s="6" t="s">
        <v>19</v>
      </c>
      <c r="C18" s="24">
        <f>C16*C13</f>
        <v>0</v>
      </c>
      <c r="D18" s="24">
        <f>D16*D13</f>
        <v>1.2456343410178701E-18</v>
      </c>
      <c r="E18" s="45">
        <f>E16*E13</f>
        <v>1.2456343410178701E-18</v>
      </c>
      <c r="F18" s="24">
        <f>F16*F13</f>
        <v>1.044977416478146E-22</v>
      </c>
      <c r="G18" s="24">
        <f>G16*G13</f>
        <v>0</v>
      </c>
      <c r="H18" s="24">
        <f>H16*H13</f>
        <v>3.8004120020738499E-13</v>
      </c>
      <c r="I18" s="45">
        <f>I16*I13</f>
        <v>3.8004120020738499E-13</v>
      </c>
      <c r="J18" s="24">
        <f>J16*J13</f>
        <v>3.1882106848744E-17</v>
      </c>
      <c r="K18" s="28">
        <f>K16*K13</f>
        <v>0</v>
      </c>
      <c r="L18" s="24">
        <f>L16*L13</f>
        <v>4.85318065852686E-11</v>
      </c>
      <c r="M18" s="45">
        <f>M16*M13</f>
        <v>4.85318065852686E-11</v>
      </c>
      <c r="N18" s="24">
        <f>N16*N13</f>
        <v>4.2480195693869199E-14</v>
      </c>
      <c r="O18" s="24">
        <f>O16*O13</f>
        <v>0</v>
      </c>
      <c r="P18" s="24">
        <f>P16*P13</f>
        <v>4.5585104622632401E-21</v>
      </c>
      <c r="Q18" s="45">
        <f>Q16*Q13</f>
        <v>4.5585104622632401E-21</v>
      </c>
      <c r="R18" s="24">
        <f>R16*R13</f>
        <v>3.9900928923645803E-24</v>
      </c>
      <c r="S18" s="28">
        <v>0</v>
      </c>
    </row>
    <row r="19" spans="1:32" x14ac:dyDescent="0.2">
      <c r="A19" s="25"/>
      <c r="B19" s="33" t="s">
        <v>20</v>
      </c>
      <c r="C19" s="24">
        <f>C16*C14</f>
        <v>0</v>
      </c>
      <c r="D19" s="24">
        <f>D16*D14</f>
        <v>0</v>
      </c>
      <c r="E19" s="45">
        <f>E16*E14</f>
        <v>0</v>
      </c>
      <c r="F19" s="24">
        <f>F16*F14</f>
        <v>0</v>
      </c>
      <c r="G19" s="24">
        <f>G16*G14</f>
        <v>9.0603368554207995E-9</v>
      </c>
      <c r="H19" s="24">
        <f>H16*H14</f>
        <v>3.8004120020738499E-13</v>
      </c>
      <c r="I19" s="45">
        <f>I16*I14</f>
        <v>3.8004120020738499E-13</v>
      </c>
      <c r="J19" s="24">
        <f>J16*J14</f>
        <v>1.5941053424372E-17</v>
      </c>
      <c r="K19" s="28">
        <f>K16*K14</f>
        <v>0</v>
      </c>
      <c r="L19" s="24">
        <f>L16*L14</f>
        <v>0</v>
      </c>
      <c r="M19" s="45">
        <f>M16*M14</f>
        <v>0</v>
      </c>
      <c r="N19" s="24">
        <f>N16*N14</f>
        <v>0</v>
      </c>
      <c r="O19" s="24">
        <f>O16*O14</f>
        <v>1.04158064461746E-17</v>
      </c>
      <c r="P19" s="24">
        <f>P16*P14</f>
        <v>4.5585104622632401E-21</v>
      </c>
      <c r="Q19" s="45">
        <f>Q16*Q14</f>
        <v>4.5585104622632401E-21</v>
      </c>
      <c r="R19" s="24">
        <f>R16*R14</f>
        <v>1.9950464461822902E-24</v>
      </c>
      <c r="S19" s="28">
        <v>0</v>
      </c>
    </row>
    <row r="20" spans="1:32" s="25" customFormat="1" x14ac:dyDescent="0.2">
      <c r="B20" s="33"/>
      <c r="C20" s="24"/>
      <c r="D20" s="24"/>
      <c r="F20" s="24"/>
      <c r="G20" s="24"/>
      <c r="H20" s="24"/>
      <c r="J20" s="24"/>
      <c r="K20" s="28"/>
      <c r="L20" s="24"/>
      <c r="N20" s="24"/>
      <c r="O20" s="24"/>
      <c r="P20" s="24"/>
      <c r="R20" s="24"/>
      <c r="S20" s="28"/>
    </row>
    <row r="21" spans="1:32" s="25" customFormat="1" x14ac:dyDescent="0.2">
      <c r="B21" s="33"/>
      <c r="C21" s="24"/>
      <c r="D21" s="24"/>
      <c r="F21" s="24"/>
      <c r="G21" s="24"/>
      <c r="H21" s="24"/>
      <c r="J21" s="24"/>
      <c r="K21" s="28"/>
      <c r="L21" s="24"/>
      <c r="N21" s="24"/>
      <c r="O21" s="24"/>
      <c r="P21" s="24"/>
      <c r="R21" s="24"/>
      <c r="S21" s="28"/>
    </row>
    <row r="22" spans="1:32" s="25" customFormat="1" x14ac:dyDescent="0.2">
      <c r="B22" s="33"/>
      <c r="C22" s="26"/>
      <c r="D22" s="26"/>
      <c r="F22" s="26"/>
      <c r="G22" s="26"/>
      <c r="H22" s="26"/>
      <c r="I22" s="26"/>
      <c r="J22" s="29"/>
      <c r="K22" s="26"/>
      <c r="L22" s="26"/>
      <c r="M22" s="26"/>
      <c r="N22" s="26"/>
      <c r="O22" s="26"/>
      <c r="P22" s="29"/>
      <c r="R22" s="26"/>
      <c r="S22" s="27"/>
    </row>
    <row r="23" spans="1:32" s="25" customFormat="1" x14ac:dyDescent="0.2">
      <c r="B23" s="3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26"/>
      <c r="R23" s="26"/>
      <c r="S23" s="27"/>
    </row>
    <row r="24" spans="1:32" s="25" customFormat="1" x14ac:dyDescent="0.2">
      <c r="B24" s="27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7"/>
    </row>
    <row r="25" spans="1:32" s="25" customFormat="1" x14ac:dyDescent="0.2"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6"/>
      <c r="Q25" s="26"/>
      <c r="R25" s="26"/>
      <c r="S25" s="27"/>
    </row>
    <row r="26" spans="1:32" s="25" customFormat="1" x14ac:dyDescent="0.2"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6"/>
      <c r="Q26" s="26"/>
      <c r="R26" s="26"/>
      <c r="S26" s="27"/>
    </row>
    <row r="27" spans="1:32" s="25" customFormat="1" x14ac:dyDescent="0.2"/>
    <row r="28" spans="1:32" x14ac:dyDescent="0.2">
      <c r="A28" s="18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x14ac:dyDescent="0.2">
      <c r="A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 x14ac:dyDescent="0.2">
      <c r="A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x14ac:dyDescent="0.2">
      <c r="A31" s="23"/>
      <c r="D31" s="23"/>
      <c r="E31" s="23"/>
      <c r="F31" s="23"/>
      <c r="G31" s="23"/>
      <c r="H31" s="23"/>
      <c r="I31" s="23"/>
      <c r="J31" s="23" t="s">
        <v>21</v>
      </c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 x14ac:dyDescent="0.2">
      <c r="A32" s="23"/>
      <c r="B32" s="36" t="s">
        <v>39</v>
      </c>
      <c r="C32" s="35">
        <f>E3</f>
        <v>9.3890303581280764E-10</v>
      </c>
      <c r="D32" s="23">
        <v>9.3928307701757275E-10</v>
      </c>
      <c r="E32" s="23"/>
      <c r="F32" s="23"/>
      <c r="G32" s="23"/>
      <c r="H32" s="23" t="s">
        <v>42</v>
      </c>
      <c r="I32" s="23">
        <f>D34*D34/D35</f>
        <v>2.4588666604641812E-8</v>
      </c>
      <c r="J32" s="53">
        <f>-LN(I32)*0.001987*298.15</f>
        <v>10.379850054375312</v>
      </c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">
      <c r="A33" s="23"/>
      <c r="B33" s="36" t="s">
        <v>40</v>
      </c>
      <c r="C33" s="35">
        <f>E2</f>
        <v>1.1621337898507532E-9</v>
      </c>
      <c r="D33" s="23">
        <f>F49-F50</f>
        <v>1.1887876816780587E-9</v>
      </c>
      <c r="E33" s="23"/>
      <c r="F33" s="23"/>
      <c r="G33" s="23"/>
      <c r="H33" s="23" t="s">
        <v>43</v>
      </c>
      <c r="I33" s="23">
        <f>D36/D35</f>
        <v>2.677983108548579E-7</v>
      </c>
      <c r="J33" s="53">
        <f t="shared" ref="J33:J43" si="0">-LN(I33)*0.001987*298.15</f>
        <v>8.9651719351255732</v>
      </c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">
      <c r="A34" s="23"/>
      <c r="B34" s="36" t="s">
        <v>41</v>
      </c>
      <c r="C34" s="35">
        <v>7.2104254599161226E-8</v>
      </c>
      <c r="D34" s="23">
        <v>5.4533249536801631E-8</v>
      </c>
      <c r="E34" s="23"/>
      <c r="F34" s="23"/>
      <c r="G34" s="23"/>
      <c r="H34" s="23" t="s">
        <v>44</v>
      </c>
      <c r="I34" s="23">
        <f>D39/(D35*D32)</f>
        <v>9.9999999999998243E-2</v>
      </c>
      <c r="J34" s="53">
        <f t="shared" si="0"/>
        <v>1.3641067862611695</v>
      </c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">
      <c r="A35" s="23"/>
      <c r="B35" s="37" t="s">
        <v>1</v>
      </c>
      <c r="C35" s="35">
        <f>K16</f>
        <v>1.1089102636925199E-7</v>
      </c>
      <c r="D35" s="23">
        <v>1.2094496024772939E-7</v>
      </c>
      <c r="E35" s="23"/>
      <c r="F35" s="23"/>
      <c r="G35" s="23"/>
      <c r="H35" s="23" t="s">
        <v>45</v>
      </c>
      <c r="I35" s="23">
        <f>D44/(D36*D32)</f>
        <v>324820634507488.88</v>
      </c>
      <c r="J35" s="53">
        <f t="shared" si="0"/>
        <v>-19.795431528712346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x14ac:dyDescent="0.2">
      <c r="A36" s="23"/>
      <c r="B36" s="38" t="s">
        <v>0</v>
      </c>
      <c r="C36" s="34">
        <f>C16</f>
        <v>2.9696429550647197E-14</v>
      </c>
      <c r="D36" s="23">
        <v>3.2388856060749868E-14</v>
      </c>
      <c r="E36" s="23"/>
      <c r="F36" s="23"/>
      <c r="G36" s="23"/>
      <c r="H36" s="23" t="s">
        <v>46</v>
      </c>
      <c r="I36" s="23">
        <f>D37/(D35*D33)</f>
        <v>736301.61723606405</v>
      </c>
      <c r="J36" s="53">
        <f t="shared" si="0"/>
        <v>-8.0032905699166506</v>
      </c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x14ac:dyDescent="0.2">
      <c r="A37" s="23"/>
      <c r="B37" s="37" t="s">
        <v>34</v>
      </c>
      <c r="C37" s="35">
        <f>L16*2</f>
        <v>9.70636131705372E-11</v>
      </c>
      <c r="D37" s="23">
        <v>1.0586388475944981E-10</v>
      </c>
      <c r="E37" s="23"/>
      <c r="F37" s="23"/>
      <c r="G37" s="23"/>
      <c r="H37" s="23" t="s">
        <v>47</v>
      </c>
      <c r="I37" s="23">
        <f>D38/(D37*D33)</f>
        <v>184075.40430901572</v>
      </c>
      <c r="J37" s="53">
        <f t="shared" si="0"/>
        <v>-7.1820164500098436</v>
      </c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x14ac:dyDescent="0.2">
      <c r="A38" s="23"/>
      <c r="B38" s="37" t="s">
        <v>35</v>
      </c>
      <c r="C38" s="35">
        <f>N16</f>
        <v>2.1240097846934599E-14</v>
      </c>
      <c r="D38" s="23">
        <v>2.3165831121459352E-14</v>
      </c>
      <c r="E38" s="23"/>
      <c r="F38" s="23"/>
      <c r="G38" s="23"/>
      <c r="H38" s="23" t="s">
        <v>48</v>
      </c>
      <c r="I38" s="23">
        <f>D42/(D36*D33)</f>
        <v>70568.686786910403</v>
      </c>
      <c r="J38" s="53">
        <f t="shared" si="0"/>
        <v>-6.614024581874375</v>
      </c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x14ac:dyDescent="0.2">
      <c r="A39" s="23"/>
      <c r="B39" s="37" t="s">
        <v>36</v>
      </c>
      <c r="C39" s="35">
        <f>O16</f>
        <v>1.04158064461746E-17</v>
      </c>
      <c r="D39" s="23">
        <v>1.1360155441125329E-17</v>
      </c>
      <c r="E39" s="23"/>
      <c r="F39" s="23"/>
      <c r="G39" s="23"/>
      <c r="H39" s="23" t="s">
        <v>49</v>
      </c>
      <c r="I39" s="23">
        <f>D43/(D42*D33)</f>
        <v>17642.171696727659</v>
      </c>
      <c r="J39" s="53">
        <f t="shared" si="0"/>
        <v>-5.7927504619675689</v>
      </c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x14ac:dyDescent="0.2">
      <c r="A40" s="23"/>
      <c r="B40" s="37" t="s">
        <v>37</v>
      </c>
      <c r="C40" s="35">
        <f>P16*2</f>
        <v>9.1170209245264802E-21</v>
      </c>
      <c r="D40" s="23">
        <v>9.9436155421888886E-21</v>
      </c>
      <c r="E40" s="23"/>
      <c r="F40" s="23"/>
      <c r="G40" s="23"/>
      <c r="H40" s="23" t="s">
        <v>50</v>
      </c>
      <c r="I40" s="23">
        <f>D40/(D39*D33)</f>
        <v>736301.61723607045</v>
      </c>
      <c r="J40" s="53">
        <f t="shared" si="0"/>
        <v>-8.0032905699166559</v>
      </c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x14ac:dyDescent="0.2">
      <c r="A41" s="23"/>
      <c r="B41" s="37" t="s">
        <v>38</v>
      </c>
      <c r="C41" s="35">
        <f>R16</f>
        <v>1.9950464461822902E-24</v>
      </c>
      <c r="D41" s="23">
        <v>2.1759273137433622E-24</v>
      </c>
      <c r="E41" s="23"/>
      <c r="F41" s="23"/>
      <c r="G41" s="23"/>
      <c r="H41" s="23" t="s">
        <v>51</v>
      </c>
      <c r="I41" s="23">
        <f>D41/(D40*D33)</f>
        <v>184075.40430901592</v>
      </c>
      <c r="J41" s="53">
        <f t="shared" si="0"/>
        <v>-7.1820164500098436</v>
      </c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 x14ac:dyDescent="0.2">
      <c r="A42" s="23"/>
      <c r="B42" s="38" t="s">
        <v>29</v>
      </c>
      <c r="C42" s="34">
        <f>D16*2</f>
        <v>2.4912686820357402E-18</v>
      </c>
      <c r="D42" s="23">
        <v>2.7171395340134789E-18</v>
      </c>
      <c r="E42" s="23"/>
      <c r="F42" s="23"/>
      <c r="G42" s="23"/>
      <c r="H42" s="23" t="s">
        <v>52</v>
      </c>
      <c r="I42" s="23">
        <f>D45/(D44*D33)</f>
        <v>70568.686786910432</v>
      </c>
      <c r="J42" s="53">
        <f t="shared" si="0"/>
        <v>-6.614024581874375</v>
      </c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x14ac:dyDescent="0.2">
      <c r="A43" s="23"/>
      <c r="B43" s="39" t="s">
        <v>30</v>
      </c>
      <c r="C43" s="34">
        <f>F16</f>
        <v>5.2248870823907299E-23</v>
      </c>
      <c r="D43" s="23">
        <v>5.6986014213125025E-23</v>
      </c>
      <c r="E43" s="23"/>
      <c r="F43" s="23"/>
      <c r="G43" s="23"/>
      <c r="H43" s="23" t="s">
        <v>53</v>
      </c>
      <c r="I43" s="23">
        <f>D46/(D45*D33)</f>
        <v>17642.171696727593</v>
      </c>
      <c r="J43" s="53">
        <f t="shared" si="0"/>
        <v>-5.7927504619675663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 spans="1:32" x14ac:dyDescent="0.2">
      <c r="A44" s="23"/>
      <c r="B44" s="37" t="s">
        <v>31</v>
      </c>
      <c r="C44" s="35">
        <f>G16</f>
        <v>9.0603368554207995E-9</v>
      </c>
      <c r="D44" s="23">
        <v>9.8817922124828605E-9</v>
      </c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 spans="1:32" x14ac:dyDescent="0.2">
      <c r="A45" s="23"/>
      <c r="B45" s="37" t="s">
        <v>32</v>
      </c>
      <c r="C45" s="35">
        <f>H16*2</f>
        <v>7.6008240041476999E-13</v>
      </c>
      <c r="D45" s="23">
        <v>8.2899526420699654E-13</v>
      </c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x14ac:dyDescent="0.2">
      <c r="A46" s="23"/>
      <c r="B46" s="37" t="s">
        <v>33</v>
      </c>
      <c r="C46" s="35">
        <f>J16</f>
        <v>1.5941053424372E-17</v>
      </c>
      <c r="D46" s="23">
        <v>1.7386348885415288E-17</v>
      </c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x14ac:dyDescent="0.2">
      <c r="A47" s="23"/>
      <c r="D47" s="40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x14ac:dyDescent="0.2">
      <c r="A48" s="23"/>
      <c r="B48" s="18"/>
      <c r="C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spans="1:32" x14ac:dyDescent="0.2">
      <c r="A49" s="23"/>
      <c r="B49" s="18"/>
      <c r="C49" s="23" t="s">
        <v>55</v>
      </c>
      <c r="D49" s="23">
        <f>D34+SUM(D35:D46)/2</f>
        <v>1.2000000000000002E-7</v>
      </c>
      <c r="E49" s="23">
        <f>(D49-C1)/C1</f>
        <v>2.205814966808074E-16</v>
      </c>
      <c r="F49" s="23">
        <v>1.211045638886422E-9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 spans="1:32" x14ac:dyDescent="0.2">
      <c r="A50" s="23"/>
      <c r="B50" s="18"/>
      <c r="C50" s="23" t="s">
        <v>54</v>
      </c>
      <c r="D50" s="23">
        <f>D33+SUM(D37,D40,D42,D45)/4+SUM(D38,D41,D43,D46)</f>
        <v>1.2154840855832733E-9</v>
      </c>
      <c r="E50" s="23">
        <f>C2-D50</f>
        <v>4.4515914416726689E-11</v>
      </c>
      <c r="F50" s="23">
        <v>2.2257957208363345E-11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 spans="1:32" x14ac:dyDescent="0.2">
      <c r="A51" s="23"/>
      <c r="B51" s="18"/>
      <c r="C51" t="s">
        <v>56</v>
      </c>
      <c r="D51" s="23">
        <f>SUM(D44:D46)/2+SUM(D39:D41)/2+D32</f>
        <v>5.8805936952693311E-9</v>
      </c>
      <c r="E51" s="23">
        <f t="shared" ref="E50:E51" si="1">(D51-C3)/C3</f>
        <v>-0.41194063047306689</v>
      </c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spans="1:32" x14ac:dyDescent="0.2">
      <c r="A52" s="23"/>
      <c r="B52" s="18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spans="1:32" x14ac:dyDescent="0.2">
      <c r="A53" s="23"/>
      <c r="B53" s="18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 spans="1:32" x14ac:dyDescent="0.2">
      <c r="A54" s="23"/>
      <c r="B54" s="18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spans="1:32" x14ac:dyDescent="0.2">
      <c r="A55" s="23"/>
      <c r="B55" s="18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 spans="1:32" x14ac:dyDescent="0.2">
      <c r="A56" s="23"/>
      <c r="B56" s="18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spans="1:32" x14ac:dyDescent="0.2">
      <c r="A57" s="23"/>
      <c r="B57" s="18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spans="1:32" x14ac:dyDescent="0.2">
      <c r="A58" s="23"/>
      <c r="B58" s="18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 spans="1:32" x14ac:dyDescent="0.2">
      <c r="A59" s="23"/>
      <c r="B59" s="18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 spans="1:32" x14ac:dyDescent="0.2">
      <c r="A60" s="23"/>
      <c r="B60" s="18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 spans="1:32" x14ac:dyDescent="0.2">
      <c r="A61" s="23"/>
      <c r="B61" s="18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 spans="1:32" x14ac:dyDescent="0.2">
      <c r="A62" s="23"/>
      <c r="B62" s="18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spans="1:32" x14ac:dyDescent="0.2">
      <c r="A63" s="23"/>
      <c r="B63" s="18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spans="1:32" x14ac:dyDescent="0.2">
      <c r="A64" s="23"/>
      <c r="B64" s="18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</sheetData>
  <conditionalFormatting sqref="T28:AC6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74EB-4C6F-AD4C-99AF-0F0A434A0DE9}">
  <dimension ref="B3:C18"/>
  <sheetViews>
    <sheetView workbookViewId="0">
      <selection activeCell="H30" sqref="H30"/>
    </sheetView>
  </sheetViews>
  <sheetFormatPr baseColWidth="10" defaultRowHeight="16" x14ac:dyDescent="0.2"/>
  <sheetData>
    <row r="3" spans="2:3" x14ac:dyDescent="0.2">
      <c r="B3">
        <v>2.9696429550647197E-14</v>
      </c>
      <c r="C3">
        <v>2.9684249636575767E-14</v>
      </c>
    </row>
    <row r="4" spans="2:3" x14ac:dyDescent="0.2">
      <c r="B4">
        <v>1.2456343410178701E-18</v>
      </c>
      <c r="C4">
        <v>1.2451234473021081E-18</v>
      </c>
    </row>
    <row r="5" spans="2:3" x14ac:dyDescent="0.2">
      <c r="B5">
        <v>1.2456343410178701E-18</v>
      </c>
      <c r="C5">
        <v>1.2451234473021081E-18</v>
      </c>
    </row>
    <row r="6" spans="2:3" x14ac:dyDescent="0.2">
      <c r="B6">
        <v>5.2248870823907299E-23</v>
      </c>
      <c r="C6">
        <v>5.2227441084151268E-23</v>
      </c>
    </row>
    <row r="7" spans="2:3" x14ac:dyDescent="0.2">
      <c r="B7">
        <v>9.0603368554207995E-9</v>
      </c>
      <c r="C7">
        <v>9.056620781602247E-9</v>
      </c>
    </row>
    <row r="8" spans="2:3" x14ac:dyDescent="0.2">
      <c r="B8">
        <v>3.8004120020738499E-13</v>
      </c>
      <c r="C8">
        <v>3.7988532728824404E-13</v>
      </c>
    </row>
    <row r="9" spans="2:3" x14ac:dyDescent="0.2">
      <c r="B9">
        <v>3.8004120020738499E-13</v>
      </c>
      <c r="C9">
        <v>3.7988532728824404E-13</v>
      </c>
    </row>
    <row r="10" spans="2:3" x14ac:dyDescent="0.2">
      <c r="B10">
        <v>1.5941053424372E-17</v>
      </c>
      <c r="C10">
        <v>1.5934515242380035E-17</v>
      </c>
    </row>
    <row r="11" spans="2:3" x14ac:dyDescent="0.2">
      <c r="B11">
        <v>1.1089102636925199E-7</v>
      </c>
      <c r="C11">
        <v>1.1084554470048214E-7</v>
      </c>
    </row>
    <row r="12" spans="2:3" x14ac:dyDescent="0.2">
      <c r="B12">
        <v>4.85318065852686E-11</v>
      </c>
      <c r="C12">
        <v>4.851190138983326E-11</v>
      </c>
    </row>
    <row r="13" spans="2:3" x14ac:dyDescent="0.2">
      <c r="B13">
        <v>4.85318065852686E-11</v>
      </c>
      <c r="C13">
        <v>4.851190138983326E-11</v>
      </c>
    </row>
    <row r="14" spans="2:3" x14ac:dyDescent="0.2">
      <c r="B14">
        <v>2.1240097846934599E-14</v>
      </c>
      <c r="C14">
        <v>2.1231386275525027E-14</v>
      </c>
    </row>
    <row r="15" spans="2:3" x14ac:dyDescent="0.2">
      <c r="B15">
        <v>1.04158064461746E-17</v>
      </c>
      <c r="C15">
        <v>1.0411534429995549E-17</v>
      </c>
    </row>
    <row r="16" spans="2:3" x14ac:dyDescent="0.2">
      <c r="B16">
        <v>4.5585104622632401E-21</v>
      </c>
      <c r="C16">
        <v>4.5566408009415302E-21</v>
      </c>
    </row>
    <row r="17" spans="2:3" x14ac:dyDescent="0.2">
      <c r="B17">
        <v>4.5585104622632401E-21</v>
      </c>
      <c r="C17">
        <v>4.5566408009415302E-21</v>
      </c>
    </row>
    <row r="18" spans="2:3" x14ac:dyDescent="0.2">
      <c r="B18">
        <v>1.9950464461822902E-24</v>
      </c>
      <c r="C18">
        <v>1.9942281830223607E-24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Harms</dc:creator>
  <cp:lastModifiedBy>Mike Harms</cp:lastModifiedBy>
  <dcterms:created xsi:type="dcterms:W3CDTF">2025-07-08T19:04:16Z</dcterms:created>
  <dcterms:modified xsi:type="dcterms:W3CDTF">2025-09-02T23:24:07Z</dcterms:modified>
</cp:coreProperties>
</file>