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msm/work/programming/git-clones/tfscreen/notebooks/ensemble-calibration/2025-08-17_calibrate-dG0-from-expt/"/>
    </mc:Choice>
  </mc:AlternateContent>
  <xr:revisionPtr revIDLastSave="0" documentId="13_ncr:1_{4B044434-D2B4-FA47-97E7-992BBFBE674C}" xr6:coauthVersionLast="47" xr6:coauthVersionMax="47" xr10:uidLastSave="{00000000-0000-0000-0000-000000000000}"/>
  <bookViews>
    <workbookView xWindow="4240" yWindow="2480" windowWidth="26000" windowHeight="15940" xr2:uid="{F510EA8D-918A-634D-A34D-480485FCD0C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0" i="1" l="1"/>
  <c r="R20" i="1"/>
  <c r="P20" i="1"/>
  <c r="O20" i="1"/>
  <c r="N20" i="1"/>
  <c r="L20" i="1"/>
  <c r="K20" i="1"/>
  <c r="J20" i="1"/>
  <c r="H20" i="1"/>
  <c r="G20" i="1"/>
  <c r="F20" i="1"/>
  <c r="D20" i="1"/>
  <c r="R19" i="1"/>
  <c r="P19" i="1"/>
  <c r="O19" i="1"/>
  <c r="N19" i="1"/>
  <c r="L19" i="1"/>
  <c r="K19" i="1"/>
  <c r="J19" i="1"/>
  <c r="H19" i="1"/>
  <c r="G19" i="1"/>
  <c r="F19" i="1"/>
  <c r="D19" i="1"/>
  <c r="R18" i="1"/>
  <c r="P18" i="1"/>
  <c r="O18" i="1"/>
  <c r="N18" i="1"/>
  <c r="L18" i="1"/>
  <c r="K18" i="1"/>
  <c r="J18" i="1"/>
  <c r="H18" i="1"/>
  <c r="G18" i="1"/>
  <c r="F18" i="1"/>
  <c r="D18" i="1"/>
  <c r="C19" i="1"/>
  <c r="C18" i="1"/>
  <c r="AR27" i="1"/>
  <c r="AM26" i="1"/>
  <c r="AL26" i="1"/>
  <c r="AJ26" i="1"/>
  <c r="AI26" i="1"/>
  <c r="AH26" i="1"/>
  <c r="AF26" i="1"/>
  <c r="AE26" i="1"/>
  <c r="AD26" i="1"/>
  <c r="AB26" i="1"/>
  <c r="AA26" i="1"/>
  <c r="Z26" i="1"/>
  <c r="X26" i="1"/>
  <c r="W26" i="1"/>
  <c r="Q17" i="1"/>
  <c r="M17" i="1"/>
  <c r="I17" i="1"/>
  <c r="I19" i="1" s="1"/>
  <c r="E17" i="1"/>
  <c r="Q14" i="1"/>
  <c r="Q19" i="1" s="1"/>
  <c r="Q13" i="1"/>
  <c r="Q20" i="1" s="1"/>
  <c r="Q12" i="1"/>
  <c r="M14" i="1"/>
  <c r="M13" i="1"/>
  <c r="M20" i="1" s="1"/>
  <c r="M12" i="1"/>
  <c r="I14" i="1"/>
  <c r="I13" i="1"/>
  <c r="I20" i="1" s="1"/>
  <c r="I12" i="1"/>
  <c r="E14" i="1"/>
  <c r="E13" i="1"/>
  <c r="E20" i="1" s="1"/>
  <c r="E12" i="1"/>
  <c r="C5" i="1"/>
  <c r="S22" i="1" s="1"/>
  <c r="S23" i="1" s="1"/>
  <c r="S24" i="1" s="1"/>
  <c r="M18" i="1" l="1"/>
  <c r="E18" i="1"/>
  <c r="M19" i="1"/>
  <c r="H21" i="1"/>
  <c r="H22" i="1" s="1"/>
  <c r="H23" i="1" s="1"/>
  <c r="H24" i="1" s="1"/>
  <c r="I21" i="1"/>
  <c r="I22" i="1" s="1"/>
  <c r="I23" i="1" s="1"/>
  <c r="I24" i="1" s="1"/>
  <c r="Q21" i="1"/>
  <c r="Q22" i="1" s="1"/>
  <c r="Q23" i="1" s="1"/>
  <c r="Q24" i="1" s="1"/>
  <c r="R21" i="1"/>
  <c r="R22" i="1" s="1"/>
  <c r="R23" i="1" s="1"/>
  <c r="R24" i="1" s="1"/>
  <c r="L21" i="1"/>
  <c r="L22" i="1" s="1"/>
  <c r="L23" i="1" s="1"/>
  <c r="L24" i="1" s="1"/>
  <c r="J21" i="1"/>
  <c r="J22" i="1" s="1"/>
  <c r="J23" i="1" s="1"/>
  <c r="J24" i="1" s="1"/>
  <c r="Q18" i="1"/>
  <c r="D21" i="1"/>
  <c r="D22" i="1" s="1"/>
  <c r="D23" i="1" s="1"/>
  <c r="D24" i="1" s="1"/>
  <c r="M21" i="1"/>
  <c r="M22" i="1" s="1"/>
  <c r="M23" i="1" s="1"/>
  <c r="M24" i="1" s="1"/>
  <c r="K21" i="1"/>
  <c r="K22" i="1" s="1"/>
  <c r="K23" i="1" s="1"/>
  <c r="K24" i="1" s="1"/>
  <c r="E21" i="1"/>
  <c r="E22" i="1" s="1"/>
  <c r="E23" i="1" s="1"/>
  <c r="E24" i="1" s="1"/>
  <c r="N21" i="1"/>
  <c r="N22" i="1" s="1"/>
  <c r="N23" i="1" s="1"/>
  <c r="N24" i="1" s="1"/>
  <c r="O21" i="1"/>
  <c r="O22" i="1" s="1"/>
  <c r="O23" i="1" s="1"/>
  <c r="O24" i="1" s="1"/>
  <c r="I18" i="1"/>
  <c r="T18" i="1" s="1"/>
  <c r="E2" i="1" s="1"/>
  <c r="E19" i="1"/>
  <c r="T19" i="1" s="1"/>
  <c r="E3" i="1" s="1"/>
  <c r="F21" i="1"/>
  <c r="F22" i="1" s="1"/>
  <c r="F23" i="1" s="1"/>
  <c r="F24" i="1" s="1"/>
  <c r="G21" i="1"/>
  <c r="G22" i="1" s="1"/>
  <c r="G23" i="1" s="1"/>
  <c r="G24" i="1" s="1"/>
  <c r="P21" i="1"/>
  <c r="P22" i="1" s="1"/>
  <c r="P23" i="1" s="1"/>
  <c r="P24" i="1" s="1"/>
  <c r="AG26" i="1"/>
  <c r="AC26" i="1"/>
  <c r="AK26" i="1"/>
  <c r="Y26" i="1"/>
  <c r="C20" i="1" l="1"/>
  <c r="C21" i="1"/>
  <c r="C22" i="1" s="1"/>
  <c r="C23" i="1" s="1"/>
  <c r="C24" i="1" s="1"/>
  <c r="J25" i="1" l="1"/>
  <c r="I25" i="1"/>
  <c r="R25" i="1"/>
  <c r="H25" i="1"/>
  <c r="Q25" i="1"/>
  <c r="G25" i="1"/>
  <c r="P25" i="1"/>
  <c r="F25" i="1"/>
  <c r="O25" i="1"/>
  <c r="E25" i="1"/>
  <c r="N25" i="1"/>
  <c r="D25" i="1"/>
  <c r="M25" i="1"/>
  <c r="C25" i="1"/>
  <c r="L25" i="1"/>
  <c r="K25" i="1"/>
</calcChain>
</file>

<file path=xl/sharedStrings.xml><?xml version="1.0" encoding="utf-8"?>
<sst xmlns="http://schemas.openxmlformats.org/spreadsheetml/2006/main" count="51" uniqueCount="39">
  <si>
    <t>H</t>
  </si>
  <si>
    <t>L</t>
  </si>
  <si>
    <t>reference protein</t>
  </si>
  <si>
    <t>reference DNA</t>
  </si>
  <si>
    <t>reference IPTG</t>
  </si>
  <si>
    <t>conformation</t>
  </si>
  <si>
    <t>num IPTG bound</t>
  </si>
  <si>
    <t>DNA bound</t>
  </si>
  <si>
    <t>unfolded</t>
  </si>
  <si>
    <t>na</t>
  </si>
  <si>
    <t>reference T</t>
  </si>
  <si>
    <t>R</t>
  </si>
  <si>
    <t>kcal/mol/K</t>
  </si>
  <si>
    <t>K</t>
  </si>
  <si>
    <t>mol/L</t>
  </si>
  <si>
    <t>dG0'*</t>
  </si>
  <si>
    <t>&lt;- from fitting MWC model to experimental data</t>
  </si>
  <si>
    <t>genotype</t>
  </si>
  <si>
    <t>mhk</t>
  </si>
  <si>
    <t>is degen?</t>
  </si>
  <si>
    <t>observable?</t>
  </si>
  <si>
    <t>gray states are duplicateds of state ot the left to account for degeneracy (IPTG can bind at either site)</t>
  </si>
  <si>
    <t>not sure you modeled the purple states, but maybe you should?</t>
  </si>
  <si>
    <t>Q</t>
  </si>
  <si>
    <t>truncated dimeric operator/DNA</t>
  </si>
  <si>
    <t>dna offset</t>
  </si>
  <si>
    <t>kJ/mol</t>
  </si>
  <si>
    <t>bound_iptg</t>
  </si>
  <si>
    <t>bound_dna</t>
  </si>
  <si>
    <t>free</t>
  </si>
  <si>
    <t>iptg</t>
  </si>
  <si>
    <t>dna</t>
  </si>
  <si>
    <t>reactants</t>
  </si>
  <si>
    <t>dG0'</t>
  </si>
  <si>
    <t>conc @ conditions</t>
  </si>
  <si>
    <t>&lt;- hack -- make hard to unfold</t>
  </si>
  <si>
    <t>dG</t>
  </si>
  <si>
    <t>w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</si>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</sst>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8"/>
      <name val="Aptos Narrow"/>
      <scheme val="minor"/>
    </font>
    <font>
      <i/>
      <sz val="12"/>
      <color theme="1"/>
      <name val="Aptos Narrow"/>
      <scheme val="minor"/>
    </font>
    <font>
      <i/>
      <sz val="12"/>
      <color rgb="FF000000"/>
      <name val="Aptos Narrow"/>
      <scheme val="minor"/>
    </font>
    <font>
      <i/>
      <sz val="12"/>
      <color theme="8"/>
      <name val="Aptos Narrow"/>
      <scheme val="minor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11" fontId="1" fillId="0" borderId="0" xfId="0" applyNumberFormat="1" applyFont="1"/>
    <xf numFmtId="0" fontId="1" fillId="0" borderId="0" xfId="0" applyFont="1"/>
    <xf numFmtId="11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1" fontId="0" fillId="0" borderId="6" xfId="0" applyNumberFormat="1" applyBorder="1" applyAlignment="1">
      <alignment horizontal="center"/>
    </xf>
    <xf numFmtId="11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1" fontId="2" fillId="0" borderId="3" xfId="0" applyNumberFormat="1" applyFont="1" applyBorder="1" applyAlignment="1">
      <alignment horizontal="center"/>
    </xf>
    <xf numFmtId="11" fontId="2" fillId="0" borderId="6" xfId="0" applyNumberFormat="1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3" xfId="0" applyNumberFormat="1" applyFont="1" applyFill="1" applyBorder="1" applyAlignment="1">
      <alignment horizontal="center"/>
    </xf>
    <xf numFmtId="11" fontId="3" fillId="2" borderId="6" xfId="0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" fontId="5" fillId="2" borderId="0" xfId="0" applyNumberFormat="1" applyFont="1" applyFill="1" applyAlignment="1">
      <alignment horizontal="center"/>
    </xf>
    <xf numFmtId="1" fontId="5" fillId="2" borderId="3" xfId="0" applyNumberFormat="1" applyFont="1" applyFill="1" applyBorder="1" applyAlignment="1">
      <alignment horizontal="center"/>
    </xf>
    <xf numFmtId="11" fontId="5" fillId="2" borderId="6" xfId="0" applyNumberFormat="1" applyFont="1" applyFill="1" applyBorder="1" applyAlignment="1">
      <alignment horizontal="center"/>
    </xf>
    <xf numFmtId="11" fontId="0" fillId="0" borderId="0" xfId="0" applyNumberFormat="1"/>
    <xf numFmtId="164" fontId="0" fillId="0" borderId="0" xfId="0" applyNumberFormat="1" applyAlignment="1">
      <alignment horizontal="center"/>
    </xf>
    <xf numFmtId="11" fontId="6" fillId="0" borderId="0" xfId="0" applyNumberFormat="1" applyFont="1" applyAlignment="1">
      <alignment horizontal="center"/>
    </xf>
    <xf numFmtId="0" fontId="6" fillId="0" borderId="0" xfId="0" applyFont="1"/>
    <xf numFmtId="16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6" fillId="0" borderId="0" xfId="0" applyNumberFormat="1" applyFont="1"/>
    <xf numFmtId="11" fontId="6" fillId="0" borderId="2" xfId="0" applyNumberFormat="1" applyFont="1" applyBorder="1" applyAlignment="1">
      <alignment horizontal="center"/>
    </xf>
    <xf numFmtId="164" fontId="6" fillId="0" borderId="2" xfId="0" applyNumberFormat="1" applyFont="1" applyBorder="1" applyAlignment="1">
      <alignment horizontal="center"/>
    </xf>
    <xf numFmtId="165" fontId="6" fillId="0" borderId="0" xfId="0" applyNumberFormat="1" applyFont="1" applyAlignment="1">
      <alignment horizontal="center"/>
    </xf>
    <xf numFmtId="164" fontId="6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Sheet1!$AO$27:$AO$63</c:f>
              <c:numCache>
                <c:formatCode>0.00E+00</c:formatCode>
                <c:ptCount val="37"/>
              </c:numCache>
            </c:numRef>
          </c:xVal>
          <c:yVal>
            <c:numRef>
              <c:f>Sheet1!$AP$27:$AP$63</c:f>
              <c:numCache>
                <c:formatCode>0.00E+00</c:formatCode>
                <c:ptCount val="37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BA-A348-87FC-30A73366E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4880240"/>
        <c:axId val="201256495"/>
      </c:scatterChart>
      <c:valAx>
        <c:axId val="111488024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56495"/>
        <c:crosses val="autoZero"/>
        <c:crossBetween val="midCat"/>
      </c:valAx>
      <c:valAx>
        <c:axId val="20125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4880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Sheet2!$B$3:$B$18</c:f>
              <c:numCache>
                <c:formatCode>General</c:formatCode>
                <c:ptCount val="16"/>
                <c:pt idx="0">
                  <c:v>2.9696429550647197E-14</c:v>
                </c:pt>
                <c:pt idx="1">
                  <c:v>1.2456343410178701E-18</c:v>
                </c:pt>
                <c:pt idx="2">
                  <c:v>1.2456343410178701E-18</c:v>
                </c:pt>
                <c:pt idx="3">
                  <c:v>5.2248870823907299E-23</c:v>
                </c:pt>
                <c:pt idx="4">
                  <c:v>9.0603368554207995E-9</c:v>
                </c:pt>
                <c:pt idx="5">
                  <c:v>3.8004120020738499E-13</c:v>
                </c:pt>
                <c:pt idx="6">
                  <c:v>3.8004120020738499E-13</c:v>
                </c:pt>
                <c:pt idx="7">
                  <c:v>1.5941053424372E-17</c:v>
                </c:pt>
                <c:pt idx="8">
                  <c:v>1.1089102636925199E-7</c:v>
                </c:pt>
                <c:pt idx="9">
                  <c:v>4.85318065852686E-11</c:v>
                </c:pt>
                <c:pt idx="10">
                  <c:v>4.85318065852686E-11</c:v>
                </c:pt>
                <c:pt idx="11">
                  <c:v>2.1240097846934599E-14</c:v>
                </c:pt>
                <c:pt idx="12">
                  <c:v>1.04158064461746E-17</c:v>
                </c:pt>
                <c:pt idx="13">
                  <c:v>4.5585104622632401E-21</c:v>
                </c:pt>
                <c:pt idx="14">
                  <c:v>4.5585104622632401E-21</c:v>
                </c:pt>
                <c:pt idx="15">
                  <c:v>1.9950464461822902E-24</c:v>
                </c:pt>
              </c:numCache>
            </c:numRef>
          </c:xVal>
          <c:yVal>
            <c:numRef>
              <c:f>Sheet2!$C$3:$C$18</c:f>
              <c:numCache>
                <c:formatCode>General</c:formatCode>
                <c:ptCount val="16"/>
                <c:pt idx="0">
                  <c:v>2.9684249636575767E-14</c:v>
                </c:pt>
                <c:pt idx="1">
                  <c:v>1.2451234473021081E-18</c:v>
                </c:pt>
                <c:pt idx="2">
                  <c:v>1.2451234473021081E-18</c:v>
                </c:pt>
                <c:pt idx="3">
                  <c:v>5.2227441084151268E-23</c:v>
                </c:pt>
                <c:pt idx="4">
                  <c:v>9.056620781602247E-9</c:v>
                </c:pt>
                <c:pt idx="5">
                  <c:v>3.7988532728824404E-13</c:v>
                </c:pt>
                <c:pt idx="6">
                  <c:v>3.7988532728824404E-13</c:v>
                </c:pt>
                <c:pt idx="7">
                  <c:v>1.5934515242380035E-17</c:v>
                </c:pt>
                <c:pt idx="8">
                  <c:v>1.1084554470048214E-7</c:v>
                </c:pt>
                <c:pt idx="9">
                  <c:v>4.851190138983326E-11</c:v>
                </c:pt>
                <c:pt idx="10">
                  <c:v>4.851190138983326E-11</c:v>
                </c:pt>
                <c:pt idx="11">
                  <c:v>2.1231386275525027E-14</c:v>
                </c:pt>
                <c:pt idx="12">
                  <c:v>1.0411534429995549E-17</c:v>
                </c:pt>
                <c:pt idx="13">
                  <c:v>4.5566408009415302E-21</c:v>
                </c:pt>
                <c:pt idx="14">
                  <c:v>4.5566408009415302E-21</c:v>
                </c:pt>
                <c:pt idx="15">
                  <c:v>1.9942281830223607E-24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04-CC44-A33D-381DB5C90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455727"/>
        <c:axId val="1161012624"/>
      </c:scatterChart>
      <c:valAx>
        <c:axId val="71455727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012624"/>
        <c:crosses val="autoZero"/>
        <c:crossBetween val="midCat"/>
      </c:valAx>
      <c:valAx>
        <c:axId val="116101262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5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2917616</xdr:colOff>
      <xdr:row>0</xdr:row>
      <xdr:rowOff>185283</xdr:rowOff>
    </xdr:from>
    <xdr:to>
      <xdr:col>28</xdr:col>
      <xdr:colOff>387195</xdr:colOff>
      <xdr:row>14</xdr:row>
      <xdr:rowOff>79817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97C56A-B7E5-68A3-6266-E1BE27164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609600</xdr:colOff>
      <xdr:row>9</xdr:row>
      <xdr:rowOff>127000</xdr:rowOff>
    </xdr:from>
    <xdr:to>
      <xdr:col>8</xdr:col>
      <xdr:colOff>723900</xdr:colOff>
      <xdr:row>24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700332-4278-77FC-2EE0-7638FD3A40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AE64A-479C-F344-9D5B-946C71D6080E}">
  <dimension ref="A1:AR63"/>
  <sheetViews>
    <sheetView tabSelected="1" zoomScale="92" workbookViewId="0">
      <selection activeCell="I4" sqref="I4"/>
    </sheetView>
  </sheetViews>
  <sheetFormatPr baseColWidth="10" defaultRowHeight="16" x14ac:dyDescent="0.2"/>
  <cols>
    <col min="2" max="2" width="15.1640625" bestFit="1" customWidth="1"/>
    <col min="3" max="3" width="10" bestFit="1" customWidth="1"/>
    <col min="4" max="4" width="9.1640625" bestFit="1" customWidth="1"/>
    <col min="5" max="5" width="9.1640625" customWidth="1"/>
    <col min="6" max="6" width="9.83203125" bestFit="1" customWidth="1"/>
    <col min="7" max="10" width="12.5" bestFit="1" customWidth="1"/>
    <col min="11" max="11" width="9.1640625" bestFit="1" customWidth="1"/>
    <col min="12" max="18" width="12.5" bestFit="1" customWidth="1"/>
    <col min="19" max="20" width="9.33203125" bestFit="1" customWidth="1"/>
    <col min="21" max="21" width="8.6640625" customWidth="1"/>
    <col min="22" max="22" width="39.83203125" bestFit="1" customWidth="1"/>
  </cols>
  <sheetData>
    <row r="1" spans="2:22" x14ac:dyDescent="0.2">
      <c r="B1" t="s">
        <v>2</v>
      </c>
      <c r="C1" s="1">
        <v>1.1999999999999999E-7</v>
      </c>
      <c r="D1" t="s">
        <v>14</v>
      </c>
      <c r="F1" s="31"/>
    </row>
    <row r="2" spans="2:22" x14ac:dyDescent="0.2">
      <c r="B2" t="s">
        <v>4</v>
      </c>
      <c r="C2" s="1">
        <v>1.26E-9</v>
      </c>
      <c r="D2" t="s">
        <v>14</v>
      </c>
      <c r="E2" s="31">
        <f>T18</f>
        <v>1.1621337898507532E-9</v>
      </c>
      <c r="F2" s="31"/>
      <c r="I2" s="31">
        <v>1.0999999999999999E-9</v>
      </c>
      <c r="J2" t="s">
        <v>24</v>
      </c>
    </row>
    <row r="3" spans="2:22" x14ac:dyDescent="0.2">
      <c r="B3" t="s">
        <v>3</v>
      </c>
      <c r="C3" s="1">
        <v>1E-8</v>
      </c>
      <c r="D3" t="s">
        <v>14</v>
      </c>
      <c r="E3" s="31">
        <f>T19</f>
        <v>9.3890303581280764E-10</v>
      </c>
      <c r="F3" s="31"/>
      <c r="I3" s="31"/>
    </row>
    <row r="4" spans="2:22" x14ac:dyDescent="0.2">
      <c r="B4" t="s">
        <v>10</v>
      </c>
      <c r="C4" s="2">
        <v>298.14999999999998</v>
      </c>
      <c r="D4" t="s">
        <v>13</v>
      </c>
    </row>
    <row r="5" spans="2:22" x14ac:dyDescent="0.2">
      <c r="B5" t="s">
        <v>11</v>
      </c>
      <c r="C5">
        <f>0.001987</f>
        <v>1.9870000000000001E-3</v>
      </c>
      <c r="D5" t="s">
        <v>12</v>
      </c>
    </row>
    <row r="6" spans="2:22" x14ac:dyDescent="0.2">
      <c r="B6" t="s">
        <v>17</v>
      </c>
      <c r="C6" t="s">
        <v>18</v>
      </c>
      <c r="G6" s="31"/>
      <c r="I6" s="31"/>
      <c r="K6" s="31"/>
      <c r="M6" s="31"/>
      <c r="N6" s="31"/>
    </row>
    <row r="7" spans="2:22" x14ac:dyDescent="0.2">
      <c r="B7" t="s">
        <v>25</v>
      </c>
      <c r="C7">
        <v>0</v>
      </c>
      <c r="D7" t="s">
        <v>26</v>
      </c>
    </row>
    <row r="8" spans="2:22" x14ac:dyDescent="0.2">
      <c r="B8" t="s">
        <v>21</v>
      </c>
    </row>
    <row r="9" spans="2:22" x14ac:dyDescent="0.2">
      <c r="B9" t="s">
        <v>22</v>
      </c>
    </row>
    <row r="12" spans="2:22" x14ac:dyDescent="0.2">
      <c r="B12" s="3" t="s">
        <v>5</v>
      </c>
      <c r="C12" s="4" t="s">
        <v>0</v>
      </c>
      <c r="D12" s="4" t="s">
        <v>0</v>
      </c>
      <c r="E12" s="23" t="str">
        <f>D12</f>
        <v>H</v>
      </c>
      <c r="F12" s="4" t="s">
        <v>0</v>
      </c>
      <c r="G12" s="4" t="s">
        <v>0</v>
      </c>
      <c r="H12" s="4" t="s">
        <v>0</v>
      </c>
      <c r="I12" s="23" t="str">
        <f>H12</f>
        <v>H</v>
      </c>
      <c r="J12" s="4" t="s">
        <v>0</v>
      </c>
      <c r="K12" s="5" t="s">
        <v>1</v>
      </c>
      <c r="L12" s="4" t="s">
        <v>1</v>
      </c>
      <c r="M12" s="23" t="str">
        <f>L12</f>
        <v>L</v>
      </c>
      <c r="N12" s="4" t="s">
        <v>1</v>
      </c>
      <c r="O12" s="19" t="s">
        <v>1</v>
      </c>
      <c r="P12" s="19" t="s">
        <v>1</v>
      </c>
      <c r="Q12" s="27" t="str">
        <f>P12</f>
        <v>L</v>
      </c>
      <c r="R12" s="19" t="s">
        <v>1</v>
      </c>
      <c r="S12" s="5" t="s">
        <v>8</v>
      </c>
      <c r="T12" s="4"/>
      <c r="U12" s="4"/>
      <c r="V12" s="4"/>
    </row>
    <row r="13" spans="2:22" x14ac:dyDescent="0.2">
      <c r="B13" s="6" t="s">
        <v>6</v>
      </c>
      <c r="C13" s="7">
        <v>0</v>
      </c>
      <c r="D13" s="8">
        <v>1</v>
      </c>
      <c r="E13" s="24">
        <f>D13</f>
        <v>1</v>
      </c>
      <c r="F13" s="7">
        <v>2</v>
      </c>
      <c r="G13" s="7">
        <v>0</v>
      </c>
      <c r="H13" s="7">
        <v>1</v>
      </c>
      <c r="I13" s="24">
        <f>H13</f>
        <v>1</v>
      </c>
      <c r="J13" s="7">
        <v>2</v>
      </c>
      <c r="K13" s="9">
        <v>0</v>
      </c>
      <c r="L13" s="7">
        <v>1</v>
      </c>
      <c r="M13" s="24">
        <f>L13</f>
        <v>1</v>
      </c>
      <c r="N13" s="7">
        <v>2</v>
      </c>
      <c r="O13" s="20">
        <v>0</v>
      </c>
      <c r="P13" s="20">
        <v>1</v>
      </c>
      <c r="Q13" s="28">
        <f>P13</f>
        <v>1</v>
      </c>
      <c r="R13" s="20">
        <v>2</v>
      </c>
      <c r="S13" s="9">
        <v>0</v>
      </c>
      <c r="T13" s="7"/>
      <c r="U13" s="7"/>
      <c r="V13" s="4"/>
    </row>
    <row r="14" spans="2:22" x14ac:dyDescent="0.2">
      <c r="B14" s="10" t="s">
        <v>7</v>
      </c>
      <c r="C14" s="11">
        <v>0</v>
      </c>
      <c r="D14" s="12">
        <v>0</v>
      </c>
      <c r="E14" s="25">
        <f>D14</f>
        <v>0</v>
      </c>
      <c r="F14" s="11">
        <v>0</v>
      </c>
      <c r="G14" s="11">
        <v>1</v>
      </c>
      <c r="H14" s="11">
        <v>1</v>
      </c>
      <c r="I14" s="25">
        <f>H14</f>
        <v>1</v>
      </c>
      <c r="J14" s="11">
        <v>1</v>
      </c>
      <c r="K14" s="13">
        <v>0</v>
      </c>
      <c r="L14" s="11">
        <v>0</v>
      </c>
      <c r="M14" s="25">
        <f>L14</f>
        <v>0</v>
      </c>
      <c r="N14" s="11">
        <v>0</v>
      </c>
      <c r="O14" s="21">
        <v>1</v>
      </c>
      <c r="P14" s="21">
        <v>1</v>
      </c>
      <c r="Q14" s="29">
        <f>P14</f>
        <v>1</v>
      </c>
      <c r="R14" s="21">
        <v>1</v>
      </c>
      <c r="S14" s="13">
        <v>0</v>
      </c>
      <c r="T14" s="7"/>
      <c r="U14" s="7"/>
      <c r="V14" s="4"/>
    </row>
    <row r="15" spans="2:22" x14ac:dyDescent="0.2">
      <c r="B15" s="10" t="s">
        <v>19</v>
      </c>
      <c r="C15" s="11">
        <v>0</v>
      </c>
      <c r="D15" s="12">
        <v>1</v>
      </c>
      <c r="E15" s="25">
        <v>1</v>
      </c>
      <c r="F15" s="11">
        <v>0</v>
      </c>
      <c r="G15" s="11">
        <v>0</v>
      </c>
      <c r="H15" s="11">
        <v>1</v>
      </c>
      <c r="I15" s="25">
        <v>1</v>
      </c>
      <c r="J15" s="11">
        <v>0</v>
      </c>
      <c r="K15" s="13">
        <v>0</v>
      </c>
      <c r="L15" s="11">
        <v>1</v>
      </c>
      <c r="M15" s="25">
        <v>1</v>
      </c>
      <c r="N15" s="11">
        <v>0</v>
      </c>
      <c r="O15" s="21">
        <v>0</v>
      </c>
      <c r="P15" s="21">
        <v>1</v>
      </c>
      <c r="Q15" s="29">
        <v>1</v>
      </c>
      <c r="R15" s="21">
        <v>0</v>
      </c>
      <c r="S15" s="13">
        <v>0</v>
      </c>
      <c r="T15" s="7"/>
      <c r="U15" s="7"/>
      <c r="V15" s="4"/>
    </row>
    <row r="16" spans="2:22" x14ac:dyDescent="0.2">
      <c r="B16" s="10" t="s">
        <v>20</v>
      </c>
      <c r="C16" s="11">
        <v>0</v>
      </c>
      <c r="D16" s="12">
        <v>0</v>
      </c>
      <c r="E16" s="25">
        <v>0</v>
      </c>
      <c r="F16" s="11">
        <v>0</v>
      </c>
      <c r="G16" s="11">
        <v>1</v>
      </c>
      <c r="H16" s="11">
        <v>1</v>
      </c>
      <c r="I16" s="25">
        <v>1</v>
      </c>
      <c r="J16" s="11">
        <v>1</v>
      </c>
      <c r="K16" s="13">
        <v>0</v>
      </c>
      <c r="L16" s="11">
        <v>0</v>
      </c>
      <c r="M16" s="25">
        <v>0</v>
      </c>
      <c r="N16" s="11">
        <v>0</v>
      </c>
      <c r="O16" s="21">
        <v>1</v>
      </c>
      <c r="P16" s="21">
        <v>1</v>
      </c>
      <c r="Q16" s="29">
        <v>1</v>
      </c>
      <c r="R16" s="21">
        <v>1</v>
      </c>
      <c r="S16" s="13">
        <v>0</v>
      </c>
      <c r="T16" s="7"/>
      <c r="U16" s="7"/>
      <c r="V16" s="4"/>
    </row>
    <row r="17" spans="1:44" x14ac:dyDescent="0.2">
      <c r="A17" s="31"/>
      <c r="B17" s="14" t="s">
        <v>34</v>
      </c>
      <c r="C17" s="15">
        <v>2.9696429550647197E-14</v>
      </c>
      <c r="D17" s="15">
        <v>1.2456343410178701E-18</v>
      </c>
      <c r="E17" s="26">
        <f>D17</f>
        <v>1.2456343410178701E-18</v>
      </c>
      <c r="F17" s="15">
        <v>5.2248870823907299E-23</v>
      </c>
      <c r="G17" s="15">
        <v>9.0603368554207995E-9</v>
      </c>
      <c r="H17" s="15">
        <v>3.8004120020738499E-13</v>
      </c>
      <c r="I17" s="26">
        <f>H17</f>
        <v>3.8004120020738499E-13</v>
      </c>
      <c r="J17" s="15">
        <v>1.5941053424372E-17</v>
      </c>
      <c r="K17" s="16">
        <v>1.1089102636925199E-7</v>
      </c>
      <c r="L17" s="15">
        <v>4.85318065852686E-11</v>
      </c>
      <c r="M17" s="26">
        <f>L17</f>
        <v>4.85318065852686E-11</v>
      </c>
      <c r="N17" s="15">
        <v>2.1240097846934599E-14</v>
      </c>
      <c r="O17" s="22">
        <v>1.04158064461746E-17</v>
      </c>
      <c r="P17" s="22">
        <v>4.5585104622632401E-21</v>
      </c>
      <c r="Q17" s="30">
        <f>P17</f>
        <v>4.5585104622632401E-21</v>
      </c>
      <c r="R17" s="22">
        <v>1.9950464461822902E-24</v>
      </c>
      <c r="S17" s="17" t="s">
        <v>9</v>
      </c>
      <c r="T17" s="18" t="s">
        <v>29</v>
      </c>
      <c r="U17" s="4"/>
      <c r="V17" s="18" t="s">
        <v>16</v>
      </c>
    </row>
    <row r="18" spans="1:44" x14ac:dyDescent="0.2">
      <c r="B18" s="6" t="s">
        <v>27</v>
      </c>
      <c r="C18" s="33">
        <f>C17*C13</f>
        <v>0</v>
      </c>
      <c r="D18" s="33">
        <f t="shared" ref="D18:R18" si="0">D17*D13</f>
        <v>1.2456343410178701E-18</v>
      </c>
      <c r="E18" s="33">
        <f t="shared" si="0"/>
        <v>1.2456343410178701E-18</v>
      </c>
      <c r="F18" s="33">
        <f t="shared" si="0"/>
        <v>1.044977416478146E-22</v>
      </c>
      <c r="G18" s="33">
        <f t="shared" si="0"/>
        <v>0</v>
      </c>
      <c r="H18" s="33">
        <f t="shared" si="0"/>
        <v>3.8004120020738499E-13</v>
      </c>
      <c r="I18" s="33">
        <f t="shared" si="0"/>
        <v>3.8004120020738499E-13</v>
      </c>
      <c r="J18" s="33">
        <f t="shared" si="0"/>
        <v>3.1882106848744E-17</v>
      </c>
      <c r="K18" s="38">
        <f t="shared" si="0"/>
        <v>0</v>
      </c>
      <c r="L18" s="33">
        <f t="shared" si="0"/>
        <v>4.85318065852686E-11</v>
      </c>
      <c r="M18" s="33">
        <f t="shared" si="0"/>
        <v>4.85318065852686E-11</v>
      </c>
      <c r="N18" s="33">
        <f t="shared" si="0"/>
        <v>4.2480195693869199E-14</v>
      </c>
      <c r="O18" s="33">
        <f t="shared" si="0"/>
        <v>0</v>
      </c>
      <c r="P18" s="33">
        <f t="shared" si="0"/>
        <v>4.5585104622632401E-21</v>
      </c>
      <c r="Q18" s="33">
        <f t="shared" si="0"/>
        <v>4.5585104622632401E-21</v>
      </c>
      <c r="R18" s="33">
        <f t="shared" si="0"/>
        <v>3.9900928923645803E-24</v>
      </c>
      <c r="S18" s="38">
        <v>0</v>
      </c>
      <c r="T18" s="18">
        <f>C2-SUM(C18:R18)</f>
        <v>1.1621337898507532E-9</v>
      </c>
      <c r="U18" s="32" t="s">
        <v>30</v>
      </c>
      <c r="V18" s="4"/>
    </row>
    <row r="19" spans="1:44" x14ac:dyDescent="0.2">
      <c r="A19" s="34"/>
      <c r="B19" s="36" t="s">
        <v>28</v>
      </c>
      <c r="C19" s="38">
        <f>C17*C14</f>
        <v>0</v>
      </c>
      <c r="D19" s="33">
        <f t="shared" ref="D19:R19" si="1">D17*D14</f>
        <v>0</v>
      </c>
      <c r="E19" s="33">
        <f t="shared" si="1"/>
        <v>0</v>
      </c>
      <c r="F19" s="33">
        <f t="shared" si="1"/>
        <v>0</v>
      </c>
      <c r="G19" s="33">
        <f t="shared" si="1"/>
        <v>9.0603368554207995E-9</v>
      </c>
      <c r="H19" s="33">
        <f t="shared" si="1"/>
        <v>3.8004120020738499E-13</v>
      </c>
      <c r="I19" s="33">
        <f t="shared" si="1"/>
        <v>3.8004120020738499E-13</v>
      </c>
      <c r="J19" s="33">
        <f t="shared" si="1"/>
        <v>1.5941053424372E-17</v>
      </c>
      <c r="K19" s="38">
        <f t="shared" si="1"/>
        <v>0</v>
      </c>
      <c r="L19" s="33">
        <f t="shared" si="1"/>
        <v>0</v>
      </c>
      <c r="M19" s="33">
        <f t="shared" si="1"/>
        <v>0</v>
      </c>
      <c r="N19" s="33">
        <f t="shared" si="1"/>
        <v>0</v>
      </c>
      <c r="O19" s="33">
        <f t="shared" si="1"/>
        <v>1.04158064461746E-17</v>
      </c>
      <c r="P19" s="33">
        <f t="shared" si="1"/>
        <v>4.5585104622632401E-21</v>
      </c>
      <c r="Q19" s="33">
        <f t="shared" si="1"/>
        <v>4.5585104622632401E-21</v>
      </c>
      <c r="R19" s="33">
        <f t="shared" si="1"/>
        <v>1.9950464461822902E-24</v>
      </c>
      <c r="S19" s="38">
        <v>0</v>
      </c>
      <c r="T19" s="33">
        <f>C3-SUM(C19:R19)</f>
        <v>9.3890303581280764E-10</v>
      </c>
      <c r="U19" s="35" t="s">
        <v>31</v>
      </c>
      <c r="V19" s="4"/>
    </row>
    <row r="20" spans="1:44" s="34" customFormat="1" x14ac:dyDescent="0.2">
      <c r="B20" s="36" t="s">
        <v>32</v>
      </c>
      <c r="C20" s="38">
        <f>($C17)*($E$2)^C13*($E$3)^C14</f>
        <v>2.9696429550647197E-14</v>
      </c>
      <c r="D20" s="38">
        <f>$C$1*($C$2)^D13*($C$3)^D14</f>
        <v>1.512E-16</v>
      </c>
      <c r="E20" s="38">
        <f>$C$1*($C$2)^E13*($C$3)^E14</f>
        <v>1.512E-16</v>
      </c>
      <c r="F20" s="38">
        <f>$C$1*($C$2)^F13*($C$3)^F14</f>
        <v>1.9051199999999998E-25</v>
      </c>
      <c r="G20" s="38">
        <f>$C$1*($C$2)^G13*($C$3)^G14</f>
        <v>1.2E-15</v>
      </c>
      <c r="H20" s="38">
        <f>$C$1*($C$2)^H13*($C$3)^H14</f>
        <v>1.5119999999999999E-24</v>
      </c>
      <c r="I20" s="38">
        <f>$C$1*($C$2)^I13*($C$3)^I14</f>
        <v>1.5119999999999999E-24</v>
      </c>
      <c r="J20" s="38">
        <f>$C$1*($C$2)^J13*($C$3)^J14</f>
        <v>1.9051199999999998E-33</v>
      </c>
      <c r="K20" s="38">
        <f>$C$1*($C$2)^K13*($C$3)^K14</f>
        <v>1.1999999999999999E-7</v>
      </c>
      <c r="L20" s="38">
        <f>$C$1*($C$2)^L13*($C$3)^L14</f>
        <v>1.512E-16</v>
      </c>
      <c r="M20" s="38">
        <f>$C$1*($C$2)^M13*($C$3)^M14</f>
        <v>1.512E-16</v>
      </c>
      <c r="N20" s="38">
        <f>$C$1*($C$2)^N13*($C$3)^N14</f>
        <v>1.9051199999999998E-25</v>
      </c>
      <c r="O20" s="38">
        <f>$C$1*($C$2)^O13*($C$3)^O14</f>
        <v>1.2E-15</v>
      </c>
      <c r="P20" s="38">
        <f>$C$1*($C$2)^P13*($C$3)^P14</f>
        <v>1.5119999999999999E-24</v>
      </c>
      <c r="Q20" s="38">
        <f>$C$1*($C$2)^Q13*($C$3)^Q14</f>
        <v>1.5119999999999999E-24</v>
      </c>
      <c r="R20" s="38">
        <f>$C$1*($C$2)^R13*($C$3)^R14</f>
        <v>1.9051199999999998E-33</v>
      </c>
      <c r="S20" s="38">
        <f>$C$1*($C$2)^S13*($C$3)^S14</f>
        <v>1.1999999999999999E-7</v>
      </c>
      <c r="T20" s="35"/>
      <c r="U20" s="35"/>
      <c r="V20" s="36"/>
    </row>
    <row r="21" spans="1:44" s="34" customFormat="1" x14ac:dyDescent="0.2">
      <c r="B21" s="36" t="s">
        <v>33</v>
      </c>
      <c r="C21" s="39">
        <f>-$C$5*$C$4*LN(C17/C20)</f>
        <v>0</v>
      </c>
      <c r="D21" s="35">
        <f t="shared" ref="D21:R21" si="2">-$C$5*$C$4*LN(D17/D20)</f>
        <v>2.8430184615890344</v>
      </c>
      <c r="E21" s="35">
        <f t="shared" si="2"/>
        <v>2.8430184615890344</v>
      </c>
      <c r="F21" s="35">
        <f t="shared" si="2"/>
        <v>-3.3259031987779744</v>
      </c>
      <c r="G21" s="35">
        <f t="shared" si="2"/>
        <v>-9.3822761384804867</v>
      </c>
      <c r="H21" s="35">
        <f t="shared" si="2"/>
        <v>-15.551197798847493</v>
      </c>
      <c r="I21" s="35">
        <f t="shared" si="2"/>
        <v>-15.551197798847493</v>
      </c>
      <c r="J21" s="35">
        <f t="shared" si="2"/>
        <v>-21.720119459214501</v>
      </c>
      <c r="K21" s="39">
        <f t="shared" si="2"/>
        <v>4.6768186830466123E-2</v>
      </c>
      <c r="L21" s="35">
        <f t="shared" si="2"/>
        <v>-7.511419461578817</v>
      </c>
      <c r="M21" s="35">
        <f t="shared" si="2"/>
        <v>-7.511419461578817</v>
      </c>
      <c r="N21" s="35">
        <f t="shared" si="2"/>
        <v>-15.069607109988102</v>
      </c>
      <c r="O21" s="35">
        <f t="shared" si="2"/>
        <v>2.8120902413674527</v>
      </c>
      <c r="P21" s="35">
        <f t="shared" si="2"/>
        <v>-4.7460974070418356</v>
      </c>
      <c r="Q21" s="35">
        <f t="shared" si="2"/>
        <v>-4.7460974070418356</v>
      </c>
      <c r="R21" s="35">
        <f t="shared" si="2"/>
        <v>-12.304285055451119</v>
      </c>
      <c r="S21" s="39">
        <v>10</v>
      </c>
      <c r="T21" s="35" t="s">
        <v>35</v>
      </c>
      <c r="U21" s="35"/>
      <c r="V21" s="36"/>
    </row>
    <row r="22" spans="1:44" s="34" customFormat="1" x14ac:dyDescent="0.2">
      <c r="B22" s="36" t="s">
        <v>15</v>
      </c>
      <c r="C22" s="40">
        <f>C21-$C$5*$C$4*C14*LN($C$3)</f>
        <v>0</v>
      </c>
      <c r="D22" s="40">
        <f>D21-$C$5*$C$4*D14*LN($C$3)</f>
        <v>2.8430184615890344</v>
      </c>
      <c r="E22" s="40">
        <f>E21-$C$5*$C$4*E14*LN($C$3)</f>
        <v>2.8430184615890344</v>
      </c>
      <c r="F22" s="40">
        <f>F21-$C$5*$C$4*F14*LN($C$3)</f>
        <v>-3.3259031987779744</v>
      </c>
      <c r="G22" s="40">
        <f>G21-$C$5*$C$4*G14*LN($C$3)</f>
        <v>1.530578151608788</v>
      </c>
      <c r="H22" s="40">
        <f>H21-$C$5*$C$4*H14*LN($C$3)</f>
        <v>-4.6383435087582185</v>
      </c>
      <c r="I22" s="40">
        <f>I21-$C$5*$C$4*I14*LN($C$3)</f>
        <v>-4.6383435087582185</v>
      </c>
      <c r="J22" s="40">
        <f>J21-$C$5*$C$4*J14*LN($C$3)</f>
        <v>-10.807265169125227</v>
      </c>
      <c r="K22" s="40">
        <f>K21-$C$5*$C$4*K14*LN($C$3)</f>
        <v>4.6768186830466123E-2</v>
      </c>
      <c r="L22" s="40">
        <f>L21-$C$5*$C$4*L14*LN($C$3)</f>
        <v>-7.511419461578817</v>
      </c>
      <c r="M22" s="40">
        <f>M21-$C$5*$C$4*M14*LN($C$3)</f>
        <v>-7.511419461578817</v>
      </c>
      <c r="N22" s="40">
        <f>N21-$C$5*$C$4*N14*LN($C$3)</f>
        <v>-15.069607109988102</v>
      </c>
      <c r="O22" s="40">
        <f>O21-$C$5*$C$4*O14*LN($C$3)</f>
        <v>13.724944531456728</v>
      </c>
      <c r="P22" s="40">
        <f>P21-$C$5*$C$4*P14*LN($C$3)</f>
        <v>6.1667568830474391</v>
      </c>
      <c r="Q22" s="40">
        <f>Q21-$C$5*$C$4*Q14*LN($C$3)</f>
        <v>6.1667568830474391</v>
      </c>
      <c r="R22" s="40">
        <f>R21-$C$5*$C$4*R14*LN($C$3)</f>
        <v>-1.3914307653618447</v>
      </c>
      <c r="S22" s="40">
        <f>S21-$C$5*$C$4*S14*LN($C$3)</f>
        <v>10</v>
      </c>
      <c r="T22" s="35"/>
      <c r="U22" s="35"/>
      <c r="V22" s="36"/>
    </row>
    <row r="23" spans="1:44" s="34" customFormat="1" x14ac:dyDescent="0.2">
      <c r="B23" s="36" t="s">
        <v>36</v>
      </c>
      <c r="C23" s="41">
        <f>C22-$C$5*$C$4*C13*LN($C$2)</f>
        <v>0</v>
      </c>
      <c r="D23" s="41">
        <f>D22-$C$5*$C$4*D13*LN($C$2)</f>
        <v>14.983063396203866</v>
      </c>
      <c r="E23" s="41">
        <f>E22-$C$5*$C$4*E13*LN($C$2)</f>
        <v>14.983063396203866</v>
      </c>
      <c r="F23" s="41">
        <f>F22-$C$5*$C$4*F13*LN($C$2)</f>
        <v>20.954186670451687</v>
      </c>
      <c r="G23" s="41">
        <f>G22-$C$5*$C$4*G13*LN($C$2)</f>
        <v>1.530578151608788</v>
      </c>
      <c r="H23" s="41">
        <f>H22-$C$5*$C$4*H13*LN($C$2)</f>
        <v>7.5017014258566128</v>
      </c>
      <c r="I23" s="41">
        <f>I22-$C$5*$C$4*I13*LN($C$2)</f>
        <v>7.5017014258566128</v>
      </c>
      <c r="J23" s="41">
        <f>J22-$C$5*$C$4*J13*LN($C$2)</f>
        <v>13.472824700104436</v>
      </c>
      <c r="K23" s="41">
        <f>K22-$C$5*$C$4*K13*LN($C$2)</f>
        <v>4.6768186830466123E-2</v>
      </c>
      <c r="L23" s="41">
        <f>L22-$C$5*$C$4*L13*LN($C$2)</f>
        <v>4.6286254730360143</v>
      </c>
      <c r="M23" s="41">
        <f>M22-$C$5*$C$4*M13*LN($C$2)</f>
        <v>4.6286254730360143</v>
      </c>
      <c r="N23" s="41">
        <f>N22-$C$5*$C$4*N13*LN($C$2)</f>
        <v>9.210482759241561</v>
      </c>
      <c r="O23" s="41">
        <f>O22-$C$5*$C$4*O13*LN($C$2)</f>
        <v>13.724944531456728</v>
      </c>
      <c r="P23" s="41">
        <f>P22-$C$5*$C$4*P13*LN($C$2)</f>
        <v>18.306801817662269</v>
      </c>
      <c r="Q23" s="41">
        <f>Q22-$C$5*$C$4*Q13*LN($C$2)</f>
        <v>18.306801817662269</v>
      </c>
      <c r="R23" s="41">
        <f>R22-$C$5*$C$4*R13*LN($C$2)</f>
        <v>22.888659103867816</v>
      </c>
      <c r="S23" s="41">
        <f>S22-$C$5*$C$4*S13*LN($C$2)</f>
        <v>10</v>
      </c>
      <c r="T23" s="35"/>
      <c r="U23" s="35"/>
      <c r="V23" s="36"/>
    </row>
    <row r="24" spans="1:44" s="34" customFormat="1" x14ac:dyDescent="0.2">
      <c r="B24" s="36" t="s">
        <v>37</v>
      </c>
      <c r="C24" s="33">
        <f>EXP(-C23/($C$4*$C$5))</f>
        <v>1</v>
      </c>
      <c r="D24" s="33">
        <f t="shared" ref="D24:S24" si="3">EXP(-D23/($C$4*$C$5))</f>
        <v>1.0380286175148925E-11</v>
      </c>
      <c r="E24" s="33">
        <f t="shared" si="3"/>
        <v>1.0380286175148925E-11</v>
      </c>
      <c r="F24" s="33">
        <f t="shared" si="3"/>
        <v>4.354072568658972E-16</v>
      </c>
      <c r="G24" s="33">
        <f t="shared" si="3"/>
        <v>7.5502807128506544E-2</v>
      </c>
      <c r="H24" s="33">
        <f t="shared" si="3"/>
        <v>3.16701000172821E-6</v>
      </c>
      <c r="I24" s="33">
        <f t="shared" si="3"/>
        <v>3.16701000172821E-6</v>
      </c>
      <c r="J24" s="33">
        <f t="shared" si="3"/>
        <v>1.3284211186976758E-10</v>
      </c>
      <c r="K24" s="33">
        <f t="shared" si="3"/>
        <v>0.92409188641043338</v>
      </c>
      <c r="L24" s="33">
        <f t="shared" si="3"/>
        <v>4.044317215439057E-4</v>
      </c>
      <c r="M24" s="33">
        <f t="shared" si="3"/>
        <v>4.044317215439057E-4</v>
      </c>
      <c r="N24" s="33">
        <f t="shared" si="3"/>
        <v>1.7700081539112297E-7</v>
      </c>
      <c r="O24" s="33">
        <f t="shared" si="3"/>
        <v>8.6798387051454621E-11</v>
      </c>
      <c r="P24" s="33">
        <f t="shared" si="3"/>
        <v>3.79875871855271E-14</v>
      </c>
      <c r="Q24" s="33">
        <f t="shared" si="3"/>
        <v>3.79875871855271E-14</v>
      </c>
      <c r="R24" s="33">
        <f t="shared" si="3"/>
        <v>1.6625387051519162E-17</v>
      </c>
      <c r="S24" s="35">
        <f t="shared" si="3"/>
        <v>4.668696286043612E-8</v>
      </c>
      <c r="T24" s="35"/>
      <c r="U24" s="35"/>
      <c r="V24" s="36"/>
    </row>
    <row r="25" spans="1:44" s="34" customFormat="1" x14ac:dyDescent="0.2">
      <c r="B25" s="36" t="s">
        <v>38</v>
      </c>
      <c r="C25" s="33">
        <f>$C$1*C24/SUM($C$24:$R$24)</f>
        <v>5.9987700474522658E-8</v>
      </c>
      <c r="D25" s="33">
        <f>$C$1*D24/SUM($C$24:$R$24)</f>
        <v>6.2268949791466208E-19</v>
      </c>
      <c r="E25" s="33">
        <f>$C$1*E24/SUM($C$24:$R$24)</f>
        <v>6.2268949791466208E-19</v>
      </c>
      <c r="F25" s="33">
        <f>$C$1*F24/SUM($C$24:$R$24)</f>
        <v>2.6119080109304987E-23</v>
      </c>
      <c r="G25" s="33">
        <f>$C$1*G24/SUM($C$24:$R$24)</f>
        <v>4.5292397790105044E-9</v>
      </c>
      <c r="H25" s="33">
        <f>$C$1*H24/SUM($C$24:$R$24)</f>
        <v>1.8998164738348932E-13</v>
      </c>
      <c r="I25" s="33">
        <f>$C$1*I24/SUM($C$24:$R$24)</f>
        <v>1.8998164738348932E-13</v>
      </c>
      <c r="J25" s="33">
        <f>$C$1*J24/SUM($C$24:$R$24)</f>
        <v>7.9688928172466475E-18</v>
      </c>
      <c r="K25" s="33">
        <f>$C$1*K24/SUM($C$24:$R$24)</f>
        <v>5.5434147292925688E-8</v>
      </c>
      <c r="L25" s="33">
        <f>$C$1*L24/SUM($C$24:$R$24)</f>
        <v>2.4260928974371365E-11</v>
      </c>
      <c r="M25" s="33">
        <f>$C$1*M24/SUM($C$24:$R$24)</f>
        <v>2.4260928974371365E-11</v>
      </c>
      <c r="N25" s="33">
        <f>$C$1*N24/SUM($C$24:$R$24)</f>
        <v>1.0617871897428965E-14</v>
      </c>
      <c r="O25" s="33">
        <f>$C$1*O24/SUM($C$24:$R$24)</f>
        <v>5.2068356441143459E-18</v>
      </c>
      <c r="P25" s="33">
        <f>$C$1*P24/SUM($C$24:$R$24)</f>
        <v>2.2787880018352146E-21</v>
      </c>
      <c r="Q25" s="33">
        <f>$C$1*Q24/SUM($C$24:$R$24)</f>
        <v>2.2787880018352146E-21</v>
      </c>
      <c r="R25" s="33">
        <f>$C$1*R24/SUM($C$24:$R$24)</f>
        <v>9.9731873871953888E-25</v>
      </c>
      <c r="S25" s="35"/>
      <c r="T25" s="35"/>
      <c r="U25" s="35"/>
      <c r="V25" s="36"/>
    </row>
    <row r="26" spans="1:44" s="34" customFormat="1" x14ac:dyDescent="0.2">
      <c r="M26" s="37"/>
      <c r="V26" s="34" t="s">
        <v>23</v>
      </c>
      <c r="W26" s="34" t="str">
        <f t="shared" ref="W26:AM26" si="4">_xlfn.CONCAT(C12,"_",C13,"_",C14)</f>
        <v>H_0_0</v>
      </c>
      <c r="X26" s="34" t="str">
        <f t="shared" si="4"/>
        <v>H_1_0</v>
      </c>
      <c r="Y26" s="34" t="str">
        <f t="shared" si="4"/>
        <v>H_1_0</v>
      </c>
      <c r="Z26" s="34" t="str">
        <f t="shared" si="4"/>
        <v>H_2_0</v>
      </c>
      <c r="AA26" s="34" t="str">
        <f t="shared" si="4"/>
        <v>H_0_1</v>
      </c>
      <c r="AB26" s="34" t="str">
        <f t="shared" si="4"/>
        <v>H_1_1</v>
      </c>
      <c r="AC26" s="34" t="str">
        <f t="shared" si="4"/>
        <v>H_1_1</v>
      </c>
      <c r="AD26" s="34" t="str">
        <f t="shared" si="4"/>
        <v>H_2_1</v>
      </c>
      <c r="AE26" s="34" t="str">
        <f t="shared" si="4"/>
        <v>L_0_0</v>
      </c>
      <c r="AF26" s="34" t="str">
        <f t="shared" si="4"/>
        <v>L_1_0</v>
      </c>
      <c r="AG26" s="34" t="str">
        <f t="shared" si="4"/>
        <v>L_1_0</v>
      </c>
      <c r="AH26" s="34" t="str">
        <f t="shared" si="4"/>
        <v>L_2_0</v>
      </c>
      <c r="AI26" s="34" t="str">
        <f t="shared" si="4"/>
        <v>L_0_1</v>
      </c>
      <c r="AJ26" s="34" t="str">
        <f t="shared" si="4"/>
        <v>L_1_1</v>
      </c>
      <c r="AK26" s="34" t="str">
        <f t="shared" si="4"/>
        <v>L_1_1</v>
      </c>
      <c r="AL26" s="34" t="str">
        <f t="shared" si="4"/>
        <v>L_2_1</v>
      </c>
      <c r="AM26" s="34" t="str">
        <f t="shared" si="4"/>
        <v>unfolded_0_0</v>
      </c>
    </row>
    <row r="27" spans="1:44" x14ac:dyDescent="0.2">
      <c r="A27" s="18"/>
      <c r="B27" s="18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R27">
        <f>C1/C3</f>
        <v>11.999999999999998</v>
      </c>
    </row>
    <row r="28" spans="1:44" x14ac:dyDescent="0.2">
      <c r="A28" s="31"/>
      <c r="B28" s="18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</row>
    <row r="29" spans="1:44" x14ac:dyDescent="0.2">
      <c r="A29" s="31"/>
      <c r="B29" s="18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</row>
    <row r="30" spans="1:44" x14ac:dyDescent="0.2">
      <c r="A30" s="31"/>
      <c r="B30" s="18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</row>
    <row r="31" spans="1:44" x14ac:dyDescent="0.2">
      <c r="A31" s="31"/>
      <c r="B31" s="18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</row>
    <row r="32" spans="1:44" x14ac:dyDescent="0.2">
      <c r="A32" s="31"/>
      <c r="B32" s="18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</row>
    <row r="33" spans="1:42" x14ac:dyDescent="0.2">
      <c r="A33" s="31"/>
      <c r="B33" s="18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</row>
    <row r="34" spans="1:42" x14ac:dyDescent="0.2">
      <c r="A34" s="31"/>
      <c r="B34" s="18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</row>
    <row r="35" spans="1:42" x14ac:dyDescent="0.2">
      <c r="A35" s="31"/>
      <c r="B35" s="18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</row>
    <row r="36" spans="1:42" x14ac:dyDescent="0.2">
      <c r="A36" s="31"/>
      <c r="B36" s="18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</row>
    <row r="37" spans="1:42" x14ac:dyDescent="0.2">
      <c r="A37" s="31"/>
      <c r="B37" s="18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</row>
    <row r="38" spans="1:42" x14ac:dyDescent="0.2">
      <c r="A38" s="31"/>
      <c r="B38" s="18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</row>
    <row r="39" spans="1:42" x14ac:dyDescent="0.2">
      <c r="A39" s="31"/>
      <c r="B39" s="18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</row>
    <row r="40" spans="1:42" x14ac:dyDescent="0.2">
      <c r="A40" s="31"/>
      <c r="B40" s="18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</row>
    <row r="41" spans="1:42" x14ac:dyDescent="0.2">
      <c r="A41" s="31"/>
      <c r="B41" s="18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</row>
    <row r="42" spans="1:42" x14ac:dyDescent="0.2">
      <c r="A42" s="31"/>
      <c r="B42" s="18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</row>
    <row r="43" spans="1:42" x14ac:dyDescent="0.2">
      <c r="A43" s="31"/>
      <c r="B43" s="18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</row>
    <row r="44" spans="1:42" x14ac:dyDescent="0.2">
      <c r="A44" s="31"/>
      <c r="B44" s="18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</row>
    <row r="45" spans="1:42" x14ac:dyDescent="0.2">
      <c r="A45" s="31"/>
      <c r="B45" s="18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</row>
    <row r="46" spans="1:42" x14ac:dyDescent="0.2">
      <c r="A46" s="31"/>
      <c r="B46" s="18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</row>
    <row r="47" spans="1:42" x14ac:dyDescent="0.2">
      <c r="A47" s="31"/>
      <c r="B47" s="18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</row>
    <row r="48" spans="1:42" x14ac:dyDescent="0.2">
      <c r="A48" s="31"/>
      <c r="B48" s="18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</row>
    <row r="49" spans="1:42" x14ac:dyDescent="0.2">
      <c r="A49" s="31"/>
      <c r="B49" s="18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</row>
    <row r="50" spans="1:42" x14ac:dyDescent="0.2">
      <c r="A50" s="31"/>
      <c r="B50" s="18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</row>
    <row r="51" spans="1:42" x14ac:dyDescent="0.2">
      <c r="A51" s="31"/>
      <c r="B51" s="18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</row>
    <row r="52" spans="1:42" x14ac:dyDescent="0.2">
      <c r="A52" s="31"/>
      <c r="B52" s="18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</row>
    <row r="53" spans="1:42" x14ac:dyDescent="0.2">
      <c r="A53" s="31"/>
      <c r="B53" s="18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</row>
    <row r="54" spans="1:42" x14ac:dyDescent="0.2">
      <c r="A54" s="31"/>
      <c r="B54" s="18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</row>
    <row r="55" spans="1:42" x14ac:dyDescent="0.2">
      <c r="A55" s="31"/>
      <c r="B55" s="18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</row>
    <row r="56" spans="1:42" x14ac:dyDescent="0.2">
      <c r="A56" s="31"/>
      <c r="B56" s="18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</row>
    <row r="57" spans="1:42" x14ac:dyDescent="0.2">
      <c r="A57" s="31"/>
      <c r="B57" s="18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</row>
    <row r="58" spans="1:42" x14ac:dyDescent="0.2">
      <c r="A58" s="31"/>
      <c r="B58" s="18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</row>
    <row r="59" spans="1:42" x14ac:dyDescent="0.2">
      <c r="A59" s="31"/>
      <c r="B59" s="18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</row>
    <row r="60" spans="1:42" x14ac:dyDescent="0.2">
      <c r="A60" s="31"/>
      <c r="B60" s="18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</row>
    <row r="61" spans="1:42" x14ac:dyDescent="0.2">
      <c r="A61" s="31"/>
      <c r="B61" s="18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</row>
    <row r="62" spans="1:42" x14ac:dyDescent="0.2">
      <c r="A62" s="31"/>
      <c r="B62" s="18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</row>
    <row r="63" spans="1:42" x14ac:dyDescent="0.2">
      <c r="A63" s="31"/>
      <c r="B63" s="18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</row>
  </sheetData>
  <conditionalFormatting sqref="W27:AM6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174EB-4C6F-AD4C-99AF-0F0A434A0DE9}">
  <dimension ref="B3:C18"/>
  <sheetViews>
    <sheetView workbookViewId="0">
      <selection activeCell="H30" sqref="H30"/>
    </sheetView>
  </sheetViews>
  <sheetFormatPr baseColWidth="10" defaultRowHeight="16" x14ac:dyDescent="0.2"/>
  <sheetData>
    <row r="3" spans="2:3" x14ac:dyDescent="0.2">
      <c r="B3">
        <v>2.9696429550647197E-14</v>
      </c>
      <c r="C3">
        <v>2.9684249636575767E-14</v>
      </c>
    </row>
    <row r="4" spans="2:3" x14ac:dyDescent="0.2">
      <c r="B4">
        <v>1.2456343410178701E-18</v>
      </c>
      <c r="C4">
        <v>1.2451234473021081E-18</v>
      </c>
    </row>
    <row r="5" spans="2:3" x14ac:dyDescent="0.2">
      <c r="B5">
        <v>1.2456343410178701E-18</v>
      </c>
      <c r="C5">
        <v>1.2451234473021081E-18</v>
      </c>
    </row>
    <row r="6" spans="2:3" x14ac:dyDescent="0.2">
      <c r="B6">
        <v>5.2248870823907299E-23</v>
      </c>
      <c r="C6">
        <v>5.2227441084151268E-23</v>
      </c>
    </row>
    <row r="7" spans="2:3" x14ac:dyDescent="0.2">
      <c r="B7">
        <v>9.0603368554207995E-9</v>
      </c>
      <c r="C7">
        <v>9.056620781602247E-9</v>
      </c>
    </row>
    <row r="8" spans="2:3" x14ac:dyDescent="0.2">
      <c r="B8">
        <v>3.8004120020738499E-13</v>
      </c>
      <c r="C8">
        <v>3.7988532728824404E-13</v>
      </c>
    </row>
    <row r="9" spans="2:3" x14ac:dyDescent="0.2">
      <c r="B9">
        <v>3.8004120020738499E-13</v>
      </c>
      <c r="C9">
        <v>3.7988532728824404E-13</v>
      </c>
    </row>
    <row r="10" spans="2:3" x14ac:dyDescent="0.2">
      <c r="B10">
        <v>1.5941053424372E-17</v>
      </c>
      <c r="C10">
        <v>1.5934515242380035E-17</v>
      </c>
    </row>
    <row r="11" spans="2:3" x14ac:dyDescent="0.2">
      <c r="B11">
        <v>1.1089102636925199E-7</v>
      </c>
      <c r="C11">
        <v>1.1084554470048214E-7</v>
      </c>
    </row>
    <row r="12" spans="2:3" x14ac:dyDescent="0.2">
      <c r="B12">
        <v>4.85318065852686E-11</v>
      </c>
      <c r="C12">
        <v>4.851190138983326E-11</v>
      </c>
    </row>
    <row r="13" spans="2:3" x14ac:dyDescent="0.2">
      <c r="B13">
        <v>4.85318065852686E-11</v>
      </c>
      <c r="C13">
        <v>4.851190138983326E-11</v>
      </c>
    </row>
    <row r="14" spans="2:3" x14ac:dyDescent="0.2">
      <c r="B14">
        <v>2.1240097846934599E-14</v>
      </c>
      <c r="C14">
        <v>2.1231386275525027E-14</v>
      </c>
    </row>
    <row r="15" spans="2:3" x14ac:dyDescent="0.2">
      <c r="B15">
        <v>1.04158064461746E-17</v>
      </c>
      <c r="C15">
        <v>1.0411534429995549E-17</v>
      </c>
    </row>
    <row r="16" spans="2:3" x14ac:dyDescent="0.2">
      <c r="B16">
        <v>4.5585104622632401E-21</v>
      </c>
      <c r="C16">
        <v>4.5566408009415302E-21</v>
      </c>
    </row>
    <row r="17" spans="2:3" x14ac:dyDescent="0.2">
      <c r="B17">
        <v>4.5585104622632401E-21</v>
      </c>
      <c r="C17">
        <v>4.5566408009415302E-21</v>
      </c>
    </row>
    <row r="18" spans="2:3" x14ac:dyDescent="0.2">
      <c r="B18">
        <v>1.9950464461822902E-24</v>
      </c>
      <c r="C18">
        <v>1.9942281830223607E-24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Harms</dc:creator>
  <cp:lastModifiedBy>Mike Harms</cp:lastModifiedBy>
  <dcterms:created xsi:type="dcterms:W3CDTF">2025-07-08T19:04:16Z</dcterms:created>
  <dcterms:modified xsi:type="dcterms:W3CDTF">2025-08-29T22:45:28Z</dcterms:modified>
</cp:coreProperties>
</file>